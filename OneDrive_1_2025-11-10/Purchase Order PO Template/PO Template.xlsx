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tbprojectenterprises-my.sharepoint.com/personal/bianca_life360omics_com/Documents/LIMS/Purchase Order PO Template/"/>
    </mc:Choice>
  </mc:AlternateContent>
  <xr:revisionPtr revIDLastSave="56" documentId="8_{74FAAB6C-B1A5-4DA7-B356-058E2EBD02C5}" xr6:coauthVersionLast="47" xr6:coauthVersionMax="47" xr10:uidLastSave="{4137BF7F-D9F3-4748-A17C-DDECAE297D7D}"/>
  <bookViews>
    <workbookView xWindow="-108" yWindow="-108" windowWidth="23256" windowHeight="12456" xr2:uid="{DF5D3E04-C317-4AD4-94BF-0F733340CFC3}"/>
  </bookViews>
  <sheets>
    <sheet name="GENEWAY P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0" i="1" l="1"/>
  <c r="S38" i="1"/>
  <c r="S39" i="1"/>
  <c r="S40" i="1"/>
  <c r="S37" i="1"/>
  <c r="V40" i="1" l="1"/>
  <c r="U39" i="1"/>
  <c r="V39" i="1" s="1"/>
  <c r="U38" i="1"/>
  <c r="V38" i="1" s="1"/>
  <c r="U37" i="1"/>
  <c r="V37" i="1" s="1"/>
  <c r="V50" i="1" l="1"/>
  <c r="V44" i="1" l="1"/>
  <c r="V48" i="1" s="1"/>
  <c r="V53" i="1" l="1"/>
</calcChain>
</file>

<file path=xl/sharedStrings.xml><?xml version="1.0" encoding="utf-8"?>
<sst xmlns="http://schemas.openxmlformats.org/spreadsheetml/2006/main" count="55" uniqueCount="49">
  <si>
    <t>PURCHASE ORDER</t>
  </si>
  <si>
    <t>GENEWAY (PTY) LTD</t>
  </si>
  <si>
    <t>Date</t>
  </si>
  <si>
    <t>Alenti Office Park, Building B</t>
  </si>
  <si>
    <t>457 Witherite Road</t>
  </si>
  <si>
    <t>The Willows</t>
  </si>
  <si>
    <t>Page</t>
  </si>
  <si>
    <t>Pretoria</t>
  </si>
  <si>
    <t>Tel: +27 012 845 0000</t>
  </si>
  <si>
    <t>0043</t>
  </si>
  <si>
    <t>Reg no.: 2015/433002/07</t>
  </si>
  <si>
    <t>Vat number: 4030279824</t>
  </si>
  <si>
    <t>Document No</t>
  </si>
  <si>
    <t>PO20231206L</t>
  </si>
  <si>
    <t>PO No.</t>
  </si>
  <si>
    <t>Deliver to</t>
  </si>
  <si>
    <t xml:space="preserve">GENEWAY LABS </t>
  </si>
  <si>
    <t>Account</t>
  </si>
  <si>
    <t>Tax Exempt</t>
  </si>
  <si>
    <t>LTC001</t>
  </si>
  <si>
    <t>N</t>
  </si>
  <si>
    <t>SKU</t>
  </si>
  <si>
    <t>Product</t>
  </si>
  <si>
    <t>Qty</t>
  </si>
  <si>
    <t>Unit Price</t>
  </si>
  <si>
    <t>Extended Price</t>
  </si>
  <si>
    <t>Price Excl</t>
  </si>
  <si>
    <t>VAT</t>
  </si>
  <si>
    <t>Subtotal</t>
  </si>
  <si>
    <t>Sub Total</t>
  </si>
  <si>
    <t>Amount Excl Tax</t>
  </si>
  <si>
    <t>Tax</t>
  </si>
  <si>
    <t>Total</t>
  </si>
  <si>
    <t>A24932</t>
  </si>
  <si>
    <t>FPPM W.PDC, QS 12K OA</t>
  </si>
  <si>
    <t>FPPM, VERITI</t>
  </si>
  <si>
    <t>FPPM, ACUFILQS12K</t>
  </si>
  <si>
    <t>A25913</t>
  </si>
  <si>
    <t>PDC, QS 12K 0,2ML</t>
  </si>
  <si>
    <t>Discount @                   16,90%</t>
  </si>
  <si>
    <t>SERVICE DATES</t>
  </si>
  <si>
    <t>[Supplier Name]</t>
  </si>
  <si>
    <t>[quotation number if applicable]</t>
  </si>
  <si>
    <t>[autogenerate]</t>
  </si>
  <si>
    <t>[SHOULD BE ABLE TO EDIT]</t>
  </si>
  <si>
    <t>Generated By</t>
  </si>
  <si>
    <t>[autogenerate from user profile]</t>
  </si>
  <si>
    <t>[above to be selected and autofilled from stock list]</t>
  </si>
  <si>
    <t>[autocalculated]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</si>
</sst>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i/>
      <sz val="9"/>
      <name val="Arial"/>
      <family val="2"/>
    </font>
    <font>
      <b/>
      <sz val="11"/>
      <name val="Calibri"/>
      <family val="2"/>
    </font>
    <font>
      <u/>
      <sz val="10"/>
      <color theme="10"/>
      <name val="Arial"/>
      <family val="2"/>
    </font>
    <font>
      <b/>
      <u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3" fontId="2" fillId="0" borderId="0" xfId="0" applyNumberFormat="1" applyFont="1"/>
    <xf numFmtId="0" fontId="2" fillId="0" borderId="1" xfId="0" applyFont="1" applyBorder="1"/>
    <xf numFmtId="0" fontId="2" fillId="0" borderId="2" xfId="0" applyFont="1" applyBorder="1"/>
    <xf numFmtId="3" fontId="2" fillId="0" borderId="2" xfId="0" applyNumberFormat="1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3" fillId="0" borderId="0" xfId="0" applyFont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4" fillId="0" borderId="4" xfId="0" applyFont="1" applyBorder="1"/>
    <xf numFmtId="49" fontId="2" fillId="0" borderId="4" xfId="0" applyNumberFormat="1" applyFont="1" applyBorder="1"/>
    <xf numFmtId="0" fontId="2" fillId="0" borderId="4" xfId="0" quotePrefix="1" applyFont="1" applyBorder="1"/>
    <xf numFmtId="0" fontId="2" fillId="0" borderId="0" xfId="0" quotePrefix="1" applyFont="1" applyAlignment="1">
      <alignment horizontal="right"/>
    </xf>
    <xf numFmtId="3" fontId="2" fillId="0" borderId="7" xfId="0" applyNumberFormat="1" applyFont="1" applyBorder="1"/>
    <xf numFmtId="0" fontId="5" fillId="0" borderId="4" xfId="0" applyFont="1" applyBorder="1"/>
    <xf numFmtId="0" fontId="1" fillId="0" borderId="4" xfId="2" applyFont="1" applyBorder="1"/>
    <xf numFmtId="0" fontId="3" fillId="0" borderId="0" xfId="0" applyFont="1"/>
    <xf numFmtId="0" fontId="2" fillId="0" borderId="0" xfId="0" quotePrefix="1" applyFont="1"/>
    <xf numFmtId="49" fontId="2" fillId="0" borderId="0" xfId="0" applyNumberFormat="1" applyFont="1"/>
    <xf numFmtId="0" fontId="2" fillId="0" borderId="9" xfId="0" applyFont="1" applyBorder="1"/>
    <xf numFmtId="0" fontId="2" fillId="0" borderId="10" xfId="0" applyFont="1" applyBorder="1"/>
    <xf numFmtId="0" fontId="2" fillId="0" borderId="10" xfId="0" applyFont="1" applyBorder="1" applyAlignment="1">
      <alignment horizontal="center"/>
    </xf>
    <xf numFmtId="3" fontId="2" fillId="0" borderId="10" xfId="0" applyNumberFormat="1" applyFont="1" applyBorder="1"/>
    <xf numFmtId="0" fontId="2" fillId="0" borderId="11" xfId="0" applyFont="1" applyBorder="1"/>
    <xf numFmtId="0" fontId="2" fillId="0" borderId="2" xfId="0" applyFont="1" applyBorder="1" applyAlignment="1">
      <alignment horizontal="center"/>
    </xf>
    <xf numFmtId="2" fontId="2" fillId="0" borderId="2" xfId="0" quotePrefix="1" applyNumberFormat="1" applyFont="1" applyBorder="1"/>
    <xf numFmtId="4" fontId="2" fillId="0" borderId="0" xfId="0" applyNumberFormat="1" applyFont="1"/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4" fontId="2" fillId="0" borderId="7" xfId="0" applyNumberFormat="1" applyFont="1" applyBorder="1"/>
    <xf numFmtId="0" fontId="8" fillId="0" borderId="4" xfId="0" applyFont="1" applyBorder="1"/>
    <xf numFmtId="0" fontId="2" fillId="0" borderId="0" xfId="0" applyFont="1" applyAlignment="1">
      <alignment horizontal="left" vertical="center"/>
    </xf>
    <xf numFmtId="0" fontId="2" fillId="0" borderId="4" xfId="0" applyFont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7" fontId="2" fillId="0" borderId="0" xfId="0" applyNumberFormat="1" applyFont="1"/>
    <xf numFmtId="0" fontId="2" fillId="0" borderId="1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4" fontId="2" fillId="0" borderId="0" xfId="0" applyNumberFormat="1" applyFont="1" applyAlignment="1">
      <alignment horizont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2" fillId="2" borderId="4" xfId="0" applyFont="1" applyFill="1" applyBorder="1"/>
    <xf numFmtId="0" fontId="6" fillId="2" borderId="0" xfId="0" applyFont="1" applyFill="1"/>
    <xf numFmtId="0" fontId="2" fillId="2" borderId="0" xfId="0" applyFont="1" applyFill="1"/>
    <xf numFmtId="0" fontId="2" fillId="2" borderId="0" xfId="0" quotePrefix="1" applyFont="1" applyFill="1" applyAlignment="1">
      <alignment horizontal="right"/>
    </xf>
    <xf numFmtId="14" fontId="2" fillId="2" borderId="0" xfId="0" applyNumberFormat="1" applyFont="1" applyFill="1" applyAlignment="1">
      <alignment horizontal="right"/>
    </xf>
    <xf numFmtId="0" fontId="2" fillId="2" borderId="1" xfId="0" quotePrefix="1" applyFont="1" applyFill="1" applyBorder="1" applyAlignment="1">
      <alignment horizontal="left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left"/>
    </xf>
    <xf numFmtId="3" fontId="2" fillId="2" borderId="2" xfId="0" applyNumberFormat="1" applyFont="1" applyFill="1" applyBorder="1"/>
    <xf numFmtId="4" fontId="2" fillId="2" borderId="2" xfId="0" applyNumberFormat="1" applyFont="1" applyFill="1" applyBorder="1"/>
    <xf numFmtId="164" fontId="2" fillId="2" borderId="2" xfId="1" applyFont="1" applyFill="1" applyBorder="1"/>
    <xf numFmtId="164" fontId="2" fillId="2" borderId="2" xfId="0" applyNumberFormat="1" applyFont="1" applyFill="1" applyBorder="1"/>
    <xf numFmtId="2" fontId="2" fillId="2" borderId="2" xfId="0" applyNumberFormat="1" applyFont="1" applyFill="1" applyBorder="1"/>
    <xf numFmtId="0" fontId="2" fillId="2" borderId="4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3" fontId="2" fillId="2" borderId="0" xfId="0" applyNumberFormat="1" applyFont="1" applyFill="1"/>
    <xf numFmtId="4" fontId="2" fillId="2" borderId="0" xfId="0" applyNumberFormat="1" applyFont="1" applyFill="1"/>
    <xf numFmtId="0" fontId="2" fillId="2" borderId="7" xfId="0" applyFont="1" applyFill="1" applyBorder="1"/>
    <xf numFmtId="0" fontId="2" fillId="2" borderId="7" xfId="0" applyFont="1" applyFill="1" applyBorder="1" applyAlignment="1">
      <alignment horizontal="left"/>
    </xf>
    <xf numFmtId="4" fontId="2" fillId="2" borderId="2" xfId="0" applyNumberFormat="1" applyFont="1" applyFill="1" applyBorder="1" applyAlignment="1">
      <alignment horizontal="center" vertical="center"/>
    </xf>
    <xf numFmtId="4" fontId="2" fillId="2" borderId="7" xfId="0" applyNumberFormat="1" applyFont="1" applyFill="1" applyBorder="1" applyAlignment="1">
      <alignment horizontal="center" vertical="center"/>
    </xf>
    <xf numFmtId="4" fontId="2" fillId="2" borderId="0" xfId="0" applyNumberFormat="1" applyFont="1" applyFill="1" applyAlignment="1">
      <alignment horizontal="center" vertical="center"/>
    </xf>
    <xf numFmtId="4" fontId="3" fillId="2" borderId="2" xfId="0" applyNumberFormat="1" applyFont="1" applyFill="1" applyBorder="1" applyAlignment="1">
      <alignment horizontal="center" vertical="center"/>
    </xf>
    <xf numFmtId="4" fontId="3" fillId="2" borderId="0" xfId="0" applyNumberFormat="1" applyFont="1" applyFill="1" applyAlignment="1">
      <alignment horizontal="center" vertical="center"/>
    </xf>
    <xf numFmtId="4" fontId="3" fillId="2" borderId="7" xfId="0" applyNumberFormat="1" applyFont="1" applyFill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628650</xdr:colOff>
      <xdr:row>2</xdr:row>
      <xdr:rowOff>19050</xdr:rowOff>
    </xdr:from>
    <xdr:to>
      <xdr:col>13</xdr:col>
      <xdr:colOff>129540</xdr:colOff>
      <xdr:row>6</xdr:row>
      <xdr:rowOff>95250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924BFBA5-497D-479C-8622-A1835E062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171450"/>
          <a:ext cx="21812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B9E5D-A55C-4A3F-912A-8958DDBA5FFA}">
  <sheetPr>
    <tabColor rgb="FF00B0F0"/>
    <pageSetUpPr fitToPage="1"/>
  </sheetPr>
  <dimension ref="B1:Y57"/>
  <sheetViews>
    <sheetView tabSelected="1" zoomScaleNormal="100" workbookViewId="0">
      <selection activeCell="Z40" sqref="Z40"/>
    </sheetView>
  </sheetViews>
  <sheetFormatPr defaultRowHeight="11.4" x14ac:dyDescent="0.2"/>
  <cols>
    <col min="1" max="1" width="3.109375" style="1" customWidth="1"/>
    <col min="2" max="2" width="11.33203125" style="1" customWidth="1"/>
    <col min="3" max="4" width="1.6640625" style="1" customWidth="1"/>
    <col min="5" max="5" width="2.109375" style="1" customWidth="1"/>
    <col min="6" max="6" width="12.88671875" style="1" customWidth="1"/>
    <col min="7" max="8" width="1.6640625" style="1" customWidth="1"/>
    <col min="9" max="9" width="10" style="1" customWidth="1"/>
    <col min="10" max="10" width="1.5546875" style="1" customWidth="1"/>
    <col min="11" max="11" width="2.44140625" style="1" customWidth="1"/>
    <col min="12" max="12" width="6.5546875" style="2" bestFit="1" customWidth="1"/>
    <col min="13" max="13" width="3.44140625" style="2" bestFit="1" customWidth="1"/>
    <col min="14" max="14" width="11.44140625" style="1" customWidth="1"/>
    <col min="15" max="15" width="1.5546875" style="1" customWidth="1"/>
    <col min="16" max="16" width="39.33203125" style="1" customWidth="1"/>
    <col min="17" max="18" width="0.88671875" style="1" customWidth="1"/>
    <col min="19" max="21" width="12.5546875" style="1" customWidth="1"/>
    <col min="22" max="22" width="11.88671875" style="1" bestFit="1" customWidth="1"/>
    <col min="23" max="23" width="1.109375" style="1" customWidth="1"/>
    <col min="24" max="24" width="2.33203125" style="1" customWidth="1"/>
    <col min="25" max="25" width="10" style="1" bestFit="1" customWidth="1"/>
    <col min="26" max="256" width="9.109375" style="1"/>
    <col min="257" max="257" width="3.109375" style="1" customWidth="1"/>
    <col min="258" max="258" width="11.33203125" style="1" customWidth="1"/>
    <col min="259" max="260" width="1.6640625" style="1" customWidth="1"/>
    <col min="261" max="261" width="2.109375" style="1" customWidth="1"/>
    <col min="262" max="262" width="12.88671875" style="1" customWidth="1"/>
    <col min="263" max="264" width="1.6640625" style="1" customWidth="1"/>
    <col min="265" max="265" width="10" style="1" customWidth="1"/>
    <col min="266" max="266" width="1.5546875" style="1" customWidth="1"/>
    <col min="267" max="267" width="2.44140625" style="1" customWidth="1"/>
    <col min="268" max="268" width="6.5546875" style="1" bestFit="1" customWidth="1"/>
    <col min="269" max="269" width="3.44140625" style="1" bestFit="1" customWidth="1"/>
    <col min="270" max="270" width="1.88671875" style="1" customWidth="1"/>
    <col min="271" max="271" width="1.5546875" style="1" customWidth="1"/>
    <col min="272" max="272" width="10.6640625" style="1" customWidth="1"/>
    <col min="273" max="274" width="0.88671875" style="1" customWidth="1"/>
    <col min="275" max="277" width="12.5546875" style="1" customWidth="1"/>
    <col min="278" max="278" width="11.88671875" style="1" bestFit="1" customWidth="1"/>
    <col min="279" max="279" width="1.109375" style="1" customWidth="1"/>
    <col min="280" max="280" width="2.33203125" style="1" customWidth="1"/>
    <col min="281" max="281" width="10" style="1" bestFit="1" customWidth="1"/>
    <col min="282" max="512" width="9.109375" style="1"/>
    <col min="513" max="513" width="3.109375" style="1" customWidth="1"/>
    <col min="514" max="514" width="11.33203125" style="1" customWidth="1"/>
    <col min="515" max="516" width="1.6640625" style="1" customWidth="1"/>
    <col min="517" max="517" width="2.109375" style="1" customWidth="1"/>
    <col min="518" max="518" width="12.88671875" style="1" customWidth="1"/>
    <col min="519" max="520" width="1.6640625" style="1" customWidth="1"/>
    <col min="521" max="521" width="10" style="1" customWidth="1"/>
    <col min="522" max="522" width="1.5546875" style="1" customWidth="1"/>
    <col min="523" max="523" width="2.44140625" style="1" customWidth="1"/>
    <col min="524" max="524" width="6.5546875" style="1" bestFit="1" customWidth="1"/>
    <col min="525" max="525" width="3.44140625" style="1" bestFit="1" customWidth="1"/>
    <col min="526" max="526" width="1.88671875" style="1" customWidth="1"/>
    <col min="527" max="527" width="1.5546875" style="1" customWidth="1"/>
    <col min="528" max="528" width="10.6640625" style="1" customWidth="1"/>
    <col min="529" max="530" width="0.88671875" style="1" customWidth="1"/>
    <col min="531" max="533" width="12.5546875" style="1" customWidth="1"/>
    <col min="534" max="534" width="11.88671875" style="1" bestFit="1" customWidth="1"/>
    <col min="535" max="535" width="1.109375" style="1" customWidth="1"/>
    <col min="536" max="536" width="2.33203125" style="1" customWidth="1"/>
    <col min="537" max="537" width="10" style="1" bestFit="1" customWidth="1"/>
    <col min="538" max="768" width="9.109375" style="1"/>
    <col min="769" max="769" width="3.109375" style="1" customWidth="1"/>
    <col min="770" max="770" width="11.33203125" style="1" customWidth="1"/>
    <col min="771" max="772" width="1.6640625" style="1" customWidth="1"/>
    <col min="773" max="773" width="2.109375" style="1" customWidth="1"/>
    <col min="774" max="774" width="12.88671875" style="1" customWidth="1"/>
    <col min="775" max="776" width="1.6640625" style="1" customWidth="1"/>
    <col min="777" max="777" width="10" style="1" customWidth="1"/>
    <col min="778" max="778" width="1.5546875" style="1" customWidth="1"/>
    <col min="779" max="779" width="2.44140625" style="1" customWidth="1"/>
    <col min="780" max="780" width="6.5546875" style="1" bestFit="1" customWidth="1"/>
    <col min="781" max="781" width="3.44140625" style="1" bestFit="1" customWidth="1"/>
    <col min="782" max="782" width="1.88671875" style="1" customWidth="1"/>
    <col min="783" max="783" width="1.5546875" style="1" customWidth="1"/>
    <col min="784" max="784" width="10.6640625" style="1" customWidth="1"/>
    <col min="785" max="786" width="0.88671875" style="1" customWidth="1"/>
    <col min="787" max="789" width="12.5546875" style="1" customWidth="1"/>
    <col min="790" max="790" width="11.88671875" style="1" bestFit="1" customWidth="1"/>
    <col min="791" max="791" width="1.109375" style="1" customWidth="1"/>
    <col min="792" max="792" width="2.33203125" style="1" customWidth="1"/>
    <col min="793" max="793" width="10" style="1" bestFit="1" customWidth="1"/>
    <col min="794" max="1024" width="9.109375" style="1"/>
    <col min="1025" max="1025" width="3.109375" style="1" customWidth="1"/>
    <col min="1026" max="1026" width="11.33203125" style="1" customWidth="1"/>
    <col min="1027" max="1028" width="1.6640625" style="1" customWidth="1"/>
    <col min="1029" max="1029" width="2.109375" style="1" customWidth="1"/>
    <col min="1030" max="1030" width="12.88671875" style="1" customWidth="1"/>
    <col min="1031" max="1032" width="1.6640625" style="1" customWidth="1"/>
    <col min="1033" max="1033" width="10" style="1" customWidth="1"/>
    <col min="1034" max="1034" width="1.5546875" style="1" customWidth="1"/>
    <col min="1035" max="1035" width="2.44140625" style="1" customWidth="1"/>
    <col min="1036" max="1036" width="6.5546875" style="1" bestFit="1" customWidth="1"/>
    <col min="1037" max="1037" width="3.44140625" style="1" bestFit="1" customWidth="1"/>
    <col min="1038" max="1038" width="1.88671875" style="1" customWidth="1"/>
    <col min="1039" max="1039" width="1.5546875" style="1" customWidth="1"/>
    <col min="1040" max="1040" width="10.6640625" style="1" customWidth="1"/>
    <col min="1041" max="1042" width="0.88671875" style="1" customWidth="1"/>
    <col min="1043" max="1045" width="12.5546875" style="1" customWidth="1"/>
    <col min="1046" max="1046" width="11.88671875" style="1" bestFit="1" customWidth="1"/>
    <col min="1047" max="1047" width="1.109375" style="1" customWidth="1"/>
    <col min="1048" max="1048" width="2.33203125" style="1" customWidth="1"/>
    <col min="1049" max="1049" width="10" style="1" bestFit="1" customWidth="1"/>
    <col min="1050" max="1280" width="9.109375" style="1"/>
    <col min="1281" max="1281" width="3.109375" style="1" customWidth="1"/>
    <col min="1282" max="1282" width="11.33203125" style="1" customWidth="1"/>
    <col min="1283" max="1284" width="1.6640625" style="1" customWidth="1"/>
    <col min="1285" max="1285" width="2.109375" style="1" customWidth="1"/>
    <col min="1286" max="1286" width="12.88671875" style="1" customWidth="1"/>
    <col min="1287" max="1288" width="1.6640625" style="1" customWidth="1"/>
    <col min="1289" max="1289" width="10" style="1" customWidth="1"/>
    <col min="1290" max="1290" width="1.5546875" style="1" customWidth="1"/>
    <col min="1291" max="1291" width="2.44140625" style="1" customWidth="1"/>
    <col min="1292" max="1292" width="6.5546875" style="1" bestFit="1" customWidth="1"/>
    <col min="1293" max="1293" width="3.44140625" style="1" bestFit="1" customWidth="1"/>
    <col min="1294" max="1294" width="1.88671875" style="1" customWidth="1"/>
    <col min="1295" max="1295" width="1.5546875" style="1" customWidth="1"/>
    <col min="1296" max="1296" width="10.6640625" style="1" customWidth="1"/>
    <col min="1297" max="1298" width="0.88671875" style="1" customWidth="1"/>
    <col min="1299" max="1301" width="12.5546875" style="1" customWidth="1"/>
    <col min="1302" max="1302" width="11.88671875" style="1" bestFit="1" customWidth="1"/>
    <col min="1303" max="1303" width="1.109375" style="1" customWidth="1"/>
    <col min="1304" max="1304" width="2.33203125" style="1" customWidth="1"/>
    <col min="1305" max="1305" width="10" style="1" bestFit="1" customWidth="1"/>
    <col min="1306" max="1536" width="9.109375" style="1"/>
    <col min="1537" max="1537" width="3.109375" style="1" customWidth="1"/>
    <col min="1538" max="1538" width="11.33203125" style="1" customWidth="1"/>
    <col min="1539" max="1540" width="1.6640625" style="1" customWidth="1"/>
    <col min="1541" max="1541" width="2.109375" style="1" customWidth="1"/>
    <col min="1542" max="1542" width="12.88671875" style="1" customWidth="1"/>
    <col min="1543" max="1544" width="1.6640625" style="1" customWidth="1"/>
    <col min="1545" max="1545" width="10" style="1" customWidth="1"/>
    <col min="1546" max="1546" width="1.5546875" style="1" customWidth="1"/>
    <col min="1547" max="1547" width="2.44140625" style="1" customWidth="1"/>
    <col min="1548" max="1548" width="6.5546875" style="1" bestFit="1" customWidth="1"/>
    <col min="1549" max="1549" width="3.44140625" style="1" bestFit="1" customWidth="1"/>
    <col min="1550" max="1550" width="1.88671875" style="1" customWidth="1"/>
    <col min="1551" max="1551" width="1.5546875" style="1" customWidth="1"/>
    <col min="1552" max="1552" width="10.6640625" style="1" customWidth="1"/>
    <col min="1553" max="1554" width="0.88671875" style="1" customWidth="1"/>
    <col min="1555" max="1557" width="12.5546875" style="1" customWidth="1"/>
    <col min="1558" max="1558" width="11.88671875" style="1" bestFit="1" customWidth="1"/>
    <col min="1559" max="1559" width="1.109375" style="1" customWidth="1"/>
    <col min="1560" max="1560" width="2.33203125" style="1" customWidth="1"/>
    <col min="1561" max="1561" width="10" style="1" bestFit="1" customWidth="1"/>
    <col min="1562" max="1792" width="9.109375" style="1"/>
    <col min="1793" max="1793" width="3.109375" style="1" customWidth="1"/>
    <col min="1794" max="1794" width="11.33203125" style="1" customWidth="1"/>
    <col min="1795" max="1796" width="1.6640625" style="1" customWidth="1"/>
    <col min="1797" max="1797" width="2.109375" style="1" customWidth="1"/>
    <col min="1798" max="1798" width="12.88671875" style="1" customWidth="1"/>
    <col min="1799" max="1800" width="1.6640625" style="1" customWidth="1"/>
    <col min="1801" max="1801" width="10" style="1" customWidth="1"/>
    <col min="1802" max="1802" width="1.5546875" style="1" customWidth="1"/>
    <col min="1803" max="1803" width="2.44140625" style="1" customWidth="1"/>
    <col min="1804" max="1804" width="6.5546875" style="1" bestFit="1" customWidth="1"/>
    <col min="1805" max="1805" width="3.44140625" style="1" bestFit="1" customWidth="1"/>
    <col min="1806" max="1806" width="1.88671875" style="1" customWidth="1"/>
    <col min="1807" max="1807" width="1.5546875" style="1" customWidth="1"/>
    <col min="1808" max="1808" width="10.6640625" style="1" customWidth="1"/>
    <col min="1809" max="1810" width="0.88671875" style="1" customWidth="1"/>
    <col min="1811" max="1813" width="12.5546875" style="1" customWidth="1"/>
    <col min="1814" max="1814" width="11.88671875" style="1" bestFit="1" customWidth="1"/>
    <col min="1815" max="1815" width="1.109375" style="1" customWidth="1"/>
    <col min="1816" max="1816" width="2.33203125" style="1" customWidth="1"/>
    <col min="1817" max="1817" width="10" style="1" bestFit="1" customWidth="1"/>
    <col min="1818" max="2048" width="9.109375" style="1"/>
    <col min="2049" max="2049" width="3.109375" style="1" customWidth="1"/>
    <col min="2050" max="2050" width="11.33203125" style="1" customWidth="1"/>
    <col min="2051" max="2052" width="1.6640625" style="1" customWidth="1"/>
    <col min="2053" max="2053" width="2.109375" style="1" customWidth="1"/>
    <col min="2054" max="2054" width="12.88671875" style="1" customWidth="1"/>
    <col min="2055" max="2056" width="1.6640625" style="1" customWidth="1"/>
    <col min="2057" max="2057" width="10" style="1" customWidth="1"/>
    <col min="2058" max="2058" width="1.5546875" style="1" customWidth="1"/>
    <col min="2059" max="2059" width="2.44140625" style="1" customWidth="1"/>
    <col min="2060" max="2060" width="6.5546875" style="1" bestFit="1" customWidth="1"/>
    <col min="2061" max="2061" width="3.44140625" style="1" bestFit="1" customWidth="1"/>
    <col min="2062" max="2062" width="1.88671875" style="1" customWidth="1"/>
    <col min="2063" max="2063" width="1.5546875" style="1" customWidth="1"/>
    <col min="2064" max="2064" width="10.6640625" style="1" customWidth="1"/>
    <col min="2065" max="2066" width="0.88671875" style="1" customWidth="1"/>
    <col min="2067" max="2069" width="12.5546875" style="1" customWidth="1"/>
    <col min="2070" max="2070" width="11.88671875" style="1" bestFit="1" customWidth="1"/>
    <col min="2071" max="2071" width="1.109375" style="1" customWidth="1"/>
    <col min="2072" max="2072" width="2.33203125" style="1" customWidth="1"/>
    <col min="2073" max="2073" width="10" style="1" bestFit="1" customWidth="1"/>
    <col min="2074" max="2304" width="9.109375" style="1"/>
    <col min="2305" max="2305" width="3.109375" style="1" customWidth="1"/>
    <col min="2306" max="2306" width="11.33203125" style="1" customWidth="1"/>
    <col min="2307" max="2308" width="1.6640625" style="1" customWidth="1"/>
    <col min="2309" max="2309" width="2.109375" style="1" customWidth="1"/>
    <col min="2310" max="2310" width="12.88671875" style="1" customWidth="1"/>
    <col min="2311" max="2312" width="1.6640625" style="1" customWidth="1"/>
    <col min="2313" max="2313" width="10" style="1" customWidth="1"/>
    <col min="2314" max="2314" width="1.5546875" style="1" customWidth="1"/>
    <col min="2315" max="2315" width="2.44140625" style="1" customWidth="1"/>
    <col min="2316" max="2316" width="6.5546875" style="1" bestFit="1" customWidth="1"/>
    <col min="2317" max="2317" width="3.44140625" style="1" bestFit="1" customWidth="1"/>
    <col min="2318" max="2318" width="1.88671875" style="1" customWidth="1"/>
    <col min="2319" max="2319" width="1.5546875" style="1" customWidth="1"/>
    <col min="2320" max="2320" width="10.6640625" style="1" customWidth="1"/>
    <col min="2321" max="2322" width="0.88671875" style="1" customWidth="1"/>
    <col min="2323" max="2325" width="12.5546875" style="1" customWidth="1"/>
    <col min="2326" max="2326" width="11.88671875" style="1" bestFit="1" customWidth="1"/>
    <col min="2327" max="2327" width="1.109375" style="1" customWidth="1"/>
    <col min="2328" max="2328" width="2.33203125" style="1" customWidth="1"/>
    <col min="2329" max="2329" width="10" style="1" bestFit="1" customWidth="1"/>
    <col min="2330" max="2560" width="9.109375" style="1"/>
    <col min="2561" max="2561" width="3.109375" style="1" customWidth="1"/>
    <col min="2562" max="2562" width="11.33203125" style="1" customWidth="1"/>
    <col min="2563" max="2564" width="1.6640625" style="1" customWidth="1"/>
    <col min="2565" max="2565" width="2.109375" style="1" customWidth="1"/>
    <col min="2566" max="2566" width="12.88671875" style="1" customWidth="1"/>
    <col min="2567" max="2568" width="1.6640625" style="1" customWidth="1"/>
    <col min="2569" max="2569" width="10" style="1" customWidth="1"/>
    <col min="2570" max="2570" width="1.5546875" style="1" customWidth="1"/>
    <col min="2571" max="2571" width="2.44140625" style="1" customWidth="1"/>
    <col min="2572" max="2572" width="6.5546875" style="1" bestFit="1" customWidth="1"/>
    <col min="2573" max="2573" width="3.44140625" style="1" bestFit="1" customWidth="1"/>
    <col min="2574" max="2574" width="1.88671875" style="1" customWidth="1"/>
    <col min="2575" max="2575" width="1.5546875" style="1" customWidth="1"/>
    <col min="2576" max="2576" width="10.6640625" style="1" customWidth="1"/>
    <col min="2577" max="2578" width="0.88671875" style="1" customWidth="1"/>
    <col min="2579" max="2581" width="12.5546875" style="1" customWidth="1"/>
    <col min="2582" max="2582" width="11.88671875" style="1" bestFit="1" customWidth="1"/>
    <col min="2583" max="2583" width="1.109375" style="1" customWidth="1"/>
    <col min="2584" max="2584" width="2.33203125" style="1" customWidth="1"/>
    <col min="2585" max="2585" width="10" style="1" bestFit="1" customWidth="1"/>
    <col min="2586" max="2816" width="9.109375" style="1"/>
    <col min="2817" max="2817" width="3.109375" style="1" customWidth="1"/>
    <col min="2818" max="2818" width="11.33203125" style="1" customWidth="1"/>
    <col min="2819" max="2820" width="1.6640625" style="1" customWidth="1"/>
    <col min="2821" max="2821" width="2.109375" style="1" customWidth="1"/>
    <col min="2822" max="2822" width="12.88671875" style="1" customWidth="1"/>
    <col min="2823" max="2824" width="1.6640625" style="1" customWidth="1"/>
    <col min="2825" max="2825" width="10" style="1" customWidth="1"/>
    <col min="2826" max="2826" width="1.5546875" style="1" customWidth="1"/>
    <col min="2827" max="2827" width="2.44140625" style="1" customWidth="1"/>
    <col min="2828" max="2828" width="6.5546875" style="1" bestFit="1" customWidth="1"/>
    <col min="2829" max="2829" width="3.44140625" style="1" bestFit="1" customWidth="1"/>
    <col min="2830" max="2830" width="1.88671875" style="1" customWidth="1"/>
    <col min="2831" max="2831" width="1.5546875" style="1" customWidth="1"/>
    <col min="2832" max="2832" width="10.6640625" style="1" customWidth="1"/>
    <col min="2833" max="2834" width="0.88671875" style="1" customWidth="1"/>
    <col min="2835" max="2837" width="12.5546875" style="1" customWidth="1"/>
    <col min="2838" max="2838" width="11.88671875" style="1" bestFit="1" customWidth="1"/>
    <col min="2839" max="2839" width="1.109375" style="1" customWidth="1"/>
    <col min="2840" max="2840" width="2.33203125" style="1" customWidth="1"/>
    <col min="2841" max="2841" width="10" style="1" bestFit="1" customWidth="1"/>
    <col min="2842" max="3072" width="9.109375" style="1"/>
    <col min="3073" max="3073" width="3.109375" style="1" customWidth="1"/>
    <col min="3074" max="3074" width="11.33203125" style="1" customWidth="1"/>
    <col min="3075" max="3076" width="1.6640625" style="1" customWidth="1"/>
    <col min="3077" max="3077" width="2.109375" style="1" customWidth="1"/>
    <col min="3078" max="3078" width="12.88671875" style="1" customWidth="1"/>
    <col min="3079" max="3080" width="1.6640625" style="1" customWidth="1"/>
    <col min="3081" max="3081" width="10" style="1" customWidth="1"/>
    <col min="3082" max="3082" width="1.5546875" style="1" customWidth="1"/>
    <col min="3083" max="3083" width="2.44140625" style="1" customWidth="1"/>
    <col min="3084" max="3084" width="6.5546875" style="1" bestFit="1" customWidth="1"/>
    <col min="3085" max="3085" width="3.44140625" style="1" bestFit="1" customWidth="1"/>
    <col min="3086" max="3086" width="1.88671875" style="1" customWidth="1"/>
    <col min="3087" max="3087" width="1.5546875" style="1" customWidth="1"/>
    <col min="3088" max="3088" width="10.6640625" style="1" customWidth="1"/>
    <col min="3089" max="3090" width="0.88671875" style="1" customWidth="1"/>
    <col min="3091" max="3093" width="12.5546875" style="1" customWidth="1"/>
    <col min="3094" max="3094" width="11.88671875" style="1" bestFit="1" customWidth="1"/>
    <col min="3095" max="3095" width="1.109375" style="1" customWidth="1"/>
    <col min="3096" max="3096" width="2.33203125" style="1" customWidth="1"/>
    <col min="3097" max="3097" width="10" style="1" bestFit="1" customWidth="1"/>
    <col min="3098" max="3328" width="9.109375" style="1"/>
    <col min="3329" max="3329" width="3.109375" style="1" customWidth="1"/>
    <col min="3330" max="3330" width="11.33203125" style="1" customWidth="1"/>
    <col min="3331" max="3332" width="1.6640625" style="1" customWidth="1"/>
    <col min="3333" max="3333" width="2.109375" style="1" customWidth="1"/>
    <col min="3334" max="3334" width="12.88671875" style="1" customWidth="1"/>
    <col min="3335" max="3336" width="1.6640625" style="1" customWidth="1"/>
    <col min="3337" max="3337" width="10" style="1" customWidth="1"/>
    <col min="3338" max="3338" width="1.5546875" style="1" customWidth="1"/>
    <col min="3339" max="3339" width="2.44140625" style="1" customWidth="1"/>
    <col min="3340" max="3340" width="6.5546875" style="1" bestFit="1" customWidth="1"/>
    <col min="3341" max="3341" width="3.44140625" style="1" bestFit="1" customWidth="1"/>
    <col min="3342" max="3342" width="1.88671875" style="1" customWidth="1"/>
    <col min="3343" max="3343" width="1.5546875" style="1" customWidth="1"/>
    <col min="3344" max="3344" width="10.6640625" style="1" customWidth="1"/>
    <col min="3345" max="3346" width="0.88671875" style="1" customWidth="1"/>
    <col min="3347" max="3349" width="12.5546875" style="1" customWidth="1"/>
    <col min="3350" max="3350" width="11.88671875" style="1" bestFit="1" customWidth="1"/>
    <col min="3351" max="3351" width="1.109375" style="1" customWidth="1"/>
    <col min="3352" max="3352" width="2.33203125" style="1" customWidth="1"/>
    <col min="3353" max="3353" width="10" style="1" bestFit="1" customWidth="1"/>
    <col min="3354" max="3584" width="9.109375" style="1"/>
    <col min="3585" max="3585" width="3.109375" style="1" customWidth="1"/>
    <col min="3586" max="3586" width="11.33203125" style="1" customWidth="1"/>
    <col min="3587" max="3588" width="1.6640625" style="1" customWidth="1"/>
    <col min="3589" max="3589" width="2.109375" style="1" customWidth="1"/>
    <col min="3590" max="3590" width="12.88671875" style="1" customWidth="1"/>
    <col min="3591" max="3592" width="1.6640625" style="1" customWidth="1"/>
    <col min="3593" max="3593" width="10" style="1" customWidth="1"/>
    <col min="3594" max="3594" width="1.5546875" style="1" customWidth="1"/>
    <col min="3595" max="3595" width="2.44140625" style="1" customWidth="1"/>
    <col min="3596" max="3596" width="6.5546875" style="1" bestFit="1" customWidth="1"/>
    <col min="3597" max="3597" width="3.44140625" style="1" bestFit="1" customWidth="1"/>
    <col min="3598" max="3598" width="1.88671875" style="1" customWidth="1"/>
    <col min="3599" max="3599" width="1.5546875" style="1" customWidth="1"/>
    <col min="3600" max="3600" width="10.6640625" style="1" customWidth="1"/>
    <col min="3601" max="3602" width="0.88671875" style="1" customWidth="1"/>
    <col min="3603" max="3605" width="12.5546875" style="1" customWidth="1"/>
    <col min="3606" max="3606" width="11.88671875" style="1" bestFit="1" customWidth="1"/>
    <col min="3607" max="3607" width="1.109375" style="1" customWidth="1"/>
    <col min="3608" max="3608" width="2.33203125" style="1" customWidth="1"/>
    <col min="3609" max="3609" width="10" style="1" bestFit="1" customWidth="1"/>
    <col min="3610" max="3840" width="9.109375" style="1"/>
    <col min="3841" max="3841" width="3.109375" style="1" customWidth="1"/>
    <col min="3842" max="3842" width="11.33203125" style="1" customWidth="1"/>
    <col min="3843" max="3844" width="1.6640625" style="1" customWidth="1"/>
    <col min="3845" max="3845" width="2.109375" style="1" customWidth="1"/>
    <col min="3846" max="3846" width="12.88671875" style="1" customWidth="1"/>
    <col min="3847" max="3848" width="1.6640625" style="1" customWidth="1"/>
    <col min="3849" max="3849" width="10" style="1" customWidth="1"/>
    <col min="3850" max="3850" width="1.5546875" style="1" customWidth="1"/>
    <col min="3851" max="3851" width="2.44140625" style="1" customWidth="1"/>
    <col min="3852" max="3852" width="6.5546875" style="1" bestFit="1" customWidth="1"/>
    <col min="3853" max="3853" width="3.44140625" style="1" bestFit="1" customWidth="1"/>
    <col min="3854" max="3854" width="1.88671875" style="1" customWidth="1"/>
    <col min="3855" max="3855" width="1.5546875" style="1" customWidth="1"/>
    <col min="3856" max="3856" width="10.6640625" style="1" customWidth="1"/>
    <col min="3857" max="3858" width="0.88671875" style="1" customWidth="1"/>
    <col min="3859" max="3861" width="12.5546875" style="1" customWidth="1"/>
    <col min="3862" max="3862" width="11.88671875" style="1" bestFit="1" customWidth="1"/>
    <col min="3863" max="3863" width="1.109375" style="1" customWidth="1"/>
    <col min="3864" max="3864" width="2.33203125" style="1" customWidth="1"/>
    <col min="3865" max="3865" width="10" style="1" bestFit="1" customWidth="1"/>
    <col min="3866" max="4096" width="9.109375" style="1"/>
    <col min="4097" max="4097" width="3.109375" style="1" customWidth="1"/>
    <col min="4098" max="4098" width="11.33203125" style="1" customWidth="1"/>
    <col min="4099" max="4100" width="1.6640625" style="1" customWidth="1"/>
    <col min="4101" max="4101" width="2.109375" style="1" customWidth="1"/>
    <col min="4102" max="4102" width="12.88671875" style="1" customWidth="1"/>
    <col min="4103" max="4104" width="1.6640625" style="1" customWidth="1"/>
    <col min="4105" max="4105" width="10" style="1" customWidth="1"/>
    <col min="4106" max="4106" width="1.5546875" style="1" customWidth="1"/>
    <col min="4107" max="4107" width="2.44140625" style="1" customWidth="1"/>
    <col min="4108" max="4108" width="6.5546875" style="1" bestFit="1" customWidth="1"/>
    <col min="4109" max="4109" width="3.44140625" style="1" bestFit="1" customWidth="1"/>
    <col min="4110" max="4110" width="1.88671875" style="1" customWidth="1"/>
    <col min="4111" max="4111" width="1.5546875" style="1" customWidth="1"/>
    <col min="4112" max="4112" width="10.6640625" style="1" customWidth="1"/>
    <col min="4113" max="4114" width="0.88671875" style="1" customWidth="1"/>
    <col min="4115" max="4117" width="12.5546875" style="1" customWidth="1"/>
    <col min="4118" max="4118" width="11.88671875" style="1" bestFit="1" customWidth="1"/>
    <col min="4119" max="4119" width="1.109375" style="1" customWidth="1"/>
    <col min="4120" max="4120" width="2.33203125" style="1" customWidth="1"/>
    <col min="4121" max="4121" width="10" style="1" bestFit="1" customWidth="1"/>
    <col min="4122" max="4352" width="9.109375" style="1"/>
    <col min="4353" max="4353" width="3.109375" style="1" customWidth="1"/>
    <col min="4354" max="4354" width="11.33203125" style="1" customWidth="1"/>
    <col min="4355" max="4356" width="1.6640625" style="1" customWidth="1"/>
    <col min="4357" max="4357" width="2.109375" style="1" customWidth="1"/>
    <col min="4358" max="4358" width="12.88671875" style="1" customWidth="1"/>
    <col min="4359" max="4360" width="1.6640625" style="1" customWidth="1"/>
    <col min="4361" max="4361" width="10" style="1" customWidth="1"/>
    <col min="4362" max="4362" width="1.5546875" style="1" customWidth="1"/>
    <col min="4363" max="4363" width="2.44140625" style="1" customWidth="1"/>
    <col min="4364" max="4364" width="6.5546875" style="1" bestFit="1" customWidth="1"/>
    <col min="4365" max="4365" width="3.44140625" style="1" bestFit="1" customWidth="1"/>
    <col min="4366" max="4366" width="1.88671875" style="1" customWidth="1"/>
    <col min="4367" max="4367" width="1.5546875" style="1" customWidth="1"/>
    <col min="4368" max="4368" width="10.6640625" style="1" customWidth="1"/>
    <col min="4369" max="4370" width="0.88671875" style="1" customWidth="1"/>
    <col min="4371" max="4373" width="12.5546875" style="1" customWidth="1"/>
    <col min="4374" max="4374" width="11.88671875" style="1" bestFit="1" customWidth="1"/>
    <col min="4375" max="4375" width="1.109375" style="1" customWidth="1"/>
    <col min="4376" max="4376" width="2.33203125" style="1" customWidth="1"/>
    <col min="4377" max="4377" width="10" style="1" bestFit="1" customWidth="1"/>
    <col min="4378" max="4608" width="9.109375" style="1"/>
    <col min="4609" max="4609" width="3.109375" style="1" customWidth="1"/>
    <col min="4610" max="4610" width="11.33203125" style="1" customWidth="1"/>
    <col min="4611" max="4612" width="1.6640625" style="1" customWidth="1"/>
    <col min="4613" max="4613" width="2.109375" style="1" customWidth="1"/>
    <col min="4614" max="4614" width="12.88671875" style="1" customWidth="1"/>
    <col min="4615" max="4616" width="1.6640625" style="1" customWidth="1"/>
    <col min="4617" max="4617" width="10" style="1" customWidth="1"/>
    <col min="4618" max="4618" width="1.5546875" style="1" customWidth="1"/>
    <col min="4619" max="4619" width="2.44140625" style="1" customWidth="1"/>
    <col min="4620" max="4620" width="6.5546875" style="1" bestFit="1" customWidth="1"/>
    <col min="4621" max="4621" width="3.44140625" style="1" bestFit="1" customWidth="1"/>
    <col min="4622" max="4622" width="1.88671875" style="1" customWidth="1"/>
    <col min="4623" max="4623" width="1.5546875" style="1" customWidth="1"/>
    <col min="4624" max="4624" width="10.6640625" style="1" customWidth="1"/>
    <col min="4625" max="4626" width="0.88671875" style="1" customWidth="1"/>
    <col min="4627" max="4629" width="12.5546875" style="1" customWidth="1"/>
    <col min="4630" max="4630" width="11.88671875" style="1" bestFit="1" customWidth="1"/>
    <col min="4631" max="4631" width="1.109375" style="1" customWidth="1"/>
    <col min="4632" max="4632" width="2.33203125" style="1" customWidth="1"/>
    <col min="4633" max="4633" width="10" style="1" bestFit="1" customWidth="1"/>
    <col min="4634" max="4864" width="9.109375" style="1"/>
    <col min="4865" max="4865" width="3.109375" style="1" customWidth="1"/>
    <col min="4866" max="4866" width="11.33203125" style="1" customWidth="1"/>
    <col min="4867" max="4868" width="1.6640625" style="1" customWidth="1"/>
    <col min="4869" max="4869" width="2.109375" style="1" customWidth="1"/>
    <col min="4870" max="4870" width="12.88671875" style="1" customWidth="1"/>
    <col min="4871" max="4872" width="1.6640625" style="1" customWidth="1"/>
    <col min="4873" max="4873" width="10" style="1" customWidth="1"/>
    <col min="4874" max="4874" width="1.5546875" style="1" customWidth="1"/>
    <col min="4875" max="4875" width="2.44140625" style="1" customWidth="1"/>
    <col min="4876" max="4876" width="6.5546875" style="1" bestFit="1" customWidth="1"/>
    <col min="4877" max="4877" width="3.44140625" style="1" bestFit="1" customWidth="1"/>
    <col min="4878" max="4878" width="1.88671875" style="1" customWidth="1"/>
    <col min="4879" max="4879" width="1.5546875" style="1" customWidth="1"/>
    <col min="4880" max="4880" width="10.6640625" style="1" customWidth="1"/>
    <col min="4881" max="4882" width="0.88671875" style="1" customWidth="1"/>
    <col min="4883" max="4885" width="12.5546875" style="1" customWidth="1"/>
    <col min="4886" max="4886" width="11.88671875" style="1" bestFit="1" customWidth="1"/>
    <col min="4887" max="4887" width="1.109375" style="1" customWidth="1"/>
    <col min="4888" max="4888" width="2.33203125" style="1" customWidth="1"/>
    <col min="4889" max="4889" width="10" style="1" bestFit="1" customWidth="1"/>
    <col min="4890" max="5120" width="9.109375" style="1"/>
    <col min="5121" max="5121" width="3.109375" style="1" customWidth="1"/>
    <col min="5122" max="5122" width="11.33203125" style="1" customWidth="1"/>
    <col min="5123" max="5124" width="1.6640625" style="1" customWidth="1"/>
    <col min="5125" max="5125" width="2.109375" style="1" customWidth="1"/>
    <col min="5126" max="5126" width="12.88671875" style="1" customWidth="1"/>
    <col min="5127" max="5128" width="1.6640625" style="1" customWidth="1"/>
    <col min="5129" max="5129" width="10" style="1" customWidth="1"/>
    <col min="5130" max="5130" width="1.5546875" style="1" customWidth="1"/>
    <col min="5131" max="5131" width="2.44140625" style="1" customWidth="1"/>
    <col min="5132" max="5132" width="6.5546875" style="1" bestFit="1" customWidth="1"/>
    <col min="5133" max="5133" width="3.44140625" style="1" bestFit="1" customWidth="1"/>
    <col min="5134" max="5134" width="1.88671875" style="1" customWidth="1"/>
    <col min="5135" max="5135" width="1.5546875" style="1" customWidth="1"/>
    <col min="5136" max="5136" width="10.6640625" style="1" customWidth="1"/>
    <col min="5137" max="5138" width="0.88671875" style="1" customWidth="1"/>
    <col min="5139" max="5141" width="12.5546875" style="1" customWidth="1"/>
    <col min="5142" max="5142" width="11.88671875" style="1" bestFit="1" customWidth="1"/>
    <col min="5143" max="5143" width="1.109375" style="1" customWidth="1"/>
    <col min="5144" max="5144" width="2.33203125" style="1" customWidth="1"/>
    <col min="5145" max="5145" width="10" style="1" bestFit="1" customWidth="1"/>
    <col min="5146" max="5376" width="9.109375" style="1"/>
    <col min="5377" max="5377" width="3.109375" style="1" customWidth="1"/>
    <col min="5378" max="5378" width="11.33203125" style="1" customWidth="1"/>
    <col min="5379" max="5380" width="1.6640625" style="1" customWidth="1"/>
    <col min="5381" max="5381" width="2.109375" style="1" customWidth="1"/>
    <col min="5382" max="5382" width="12.88671875" style="1" customWidth="1"/>
    <col min="5383" max="5384" width="1.6640625" style="1" customWidth="1"/>
    <col min="5385" max="5385" width="10" style="1" customWidth="1"/>
    <col min="5386" max="5386" width="1.5546875" style="1" customWidth="1"/>
    <col min="5387" max="5387" width="2.44140625" style="1" customWidth="1"/>
    <col min="5388" max="5388" width="6.5546875" style="1" bestFit="1" customWidth="1"/>
    <col min="5389" max="5389" width="3.44140625" style="1" bestFit="1" customWidth="1"/>
    <col min="5390" max="5390" width="1.88671875" style="1" customWidth="1"/>
    <col min="5391" max="5391" width="1.5546875" style="1" customWidth="1"/>
    <col min="5392" max="5392" width="10.6640625" style="1" customWidth="1"/>
    <col min="5393" max="5394" width="0.88671875" style="1" customWidth="1"/>
    <col min="5395" max="5397" width="12.5546875" style="1" customWidth="1"/>
    <col min="5398" max="5398" width="11.88671875" style="1" bestFit="1" customWidth="1"/>
    <col min="5399" max="5399" width="1.109375" style="1" customWidth="1"/>
    <col min="5400" max="5400" width="2.33203125" style="1" customWidth="1"/>
    <col min="5401" max="5401" width="10" style="1" bestFit="1" customWidth="1"/>
    <col min="5402" max="5632" width="9.109375" style="1"/>
    <col min="5633" max="5633" width="3.109375" style="1" customWidth="1"/>
    <col min="5634" max="5634" width="11.33203125" style="1" customWidth="1"/>
    <col min="5635" max="5636" width="1.6640625" style="1" customWidth="1"/>
    <col min="5637" max="5637" width="2.109375" style="1" customWidth="1"/>
    <col min="5638" max="5638" width="12.88671875" style="1" customWidth="1"/>
    <col min="5639" max="5640" width="1.6640625" style="1" customWidth="1"/>
    <col min="5641" max="5641" width="10" style="1" customWidth="1"/>
    <col min="5642" max="5642" width="1.5546875" style="1" customWidth="1"/>
    <col min="5643" max="5643" width="2.44140625" style="1" customWidth="1"/>
    <col min="5644" max="5644" width="6.5546875" style="1" bestFit="1" customWidth="1"/>
    <col min="5645" max="5645" width="3.44140625" style="1" bestFit="1" customWidth="1"/>
    <col min="5646" max="5646" width="1.88671875" style="1" customWidth="1"/>
    <col min="5647" max="5647" width="1.5546875" style="1" customWidth="1"/>
    <col min="5648" max="5648" width="10.6640625" style="1" customWidth="1"/>
    <col min="5649" max="5650" width="0.88671875" style="1" customWidth="1"/>
    <col min="5651" max="5653" width="12.5546875" style="1" customWidth="1"/>
    <col min="5654" max="5654" width="11.88671875" style="1" bestFit="1" customWidth="1"/>
    <col min="5655" max="5655" width="1.109375" style="1" customWidth="1"/>
    <col min="5656" max="5656" width="2.33203125" style="1" customWidth="1"/>
    <col min="5657" max="5657" width="10" style="1" bestFit="1" customWidth="1"/>
    <col min="5658" max="5888" width="9.109375" style="1"/>
    <col min="5889" max="5889" width="3.109375" style="1" customWidth="1"/>
    <col min="5890" max="5890" width="11.33203125" style="1" customWidth="1"/>
    <col min="5891" max="5892" width="1.6640625" style="1" customWidth="1"/>
    <col min="5893" max="5893" width="2.109375" style="1" customWidth="1"/>
    <col min="5894" max="5894" width="12.88671875" style="1" customWidth="1"/>
    <col min="5895" max="5896" width="1.6640625" style="1" customWidth="1"/>
    <col min="5897" max="5897" width="10" style="1" customWidth="1"/>
    <col min="5898" max="5898" width="1.5546875" style="1" customWidth="1"/>
    <col min="5899" max="5899" width="2.44140625" style="1" customWidth="1"/>
    <col min="5900" max="5900" width="6.5546875" style="1" bestFit="1" customWidth="1"/>
    <col min="5901" max="5901" width="3.44140625" style="1" bestFit="1" customWidth="1"/>
    <col min="5902" max="5902" width="1.88671875" style="1" customWidth="1"/>
    <col min="5903" max="5903" width="1.5546875" style="1" customWidth="1"/>
    <col min="5904" max="5904" width="10.6640625" style="1" customWidth="1"/>
    <col min="5905" max="5906" width="0.88671875" style="1" customWidth="1"/>
    <col min="5907" max="5909" width="12.5546875" style="1" customWidth="1"/>
    <col min="5910" max="5910" width="11.88671875" style="1" bestFit="1" customWidth="1"/>
    <col min="5911" max="5911" width="1.109375" style="1" customWidth="1"/>
    <col min="5912" max="5912" width="2.33203125" style="1" customWidth="1"/>
    <col min="5913" max="5913" width="10" style="1" bestFit="1" customWidth="1"/>
    <col min="5914" max="6144" width="9.109375" style="1"/>
    <col min="6145" max="6145" width="3.109375" style="1" customWidth="1"/>
    <col min="6146" max="6146" width="11.33203125" style="1" customWidth="1"/>
    <col min="6147" max="6148" width="1.6640625" style="1" customWidth="1"/>
    <col min="6149" max="6149" width="2.109375" style="1" customWidth="1"/>
    <col min="6150" max="6150" width="12.88671875" style="1" customWidth="1"/>
    <col min="6151" max="6152" width="1.6640625" style="1" customWidth="1"/>
    <col min="6153" max="6153" width="10" style="1" customWidth="1"/>
    <col min="6154" max="6154" width="1.5546875" style="1" customWidth="1"/>
    <col min="6155" max="6155" width="2.44140625" style="1" customWidth="1"/>
    <col min="6156" max="6156" width="6.5546875" style="1" bestFit="1" customWidth="1"/>
    <col min="6157" max="6157" width="3.44140625" style="1" bestFit="1" customWidth="1"/>
    <col min="6158" max="6158" width="1.88671875" style="1" customWidth="1"/>
    <col min="6159" max="6159" width="1.5546875" style="1" customWidth="1"/>
    <col min="6160" max="6160" width="10.6640625" style="1" customWidth="1"/>
    <col min="6161" max="6162" width="0.88671875" style="1" customWidth="1"/>
    <col min="6163" max="6165" width="12.5546875" style="1" customWidth="1"/>
    <col min="6166" max="6166" width="11.88671875" style="1" bestFit="1" customWidth="1"/>
    <col min="6167" max="6167" width="1.109375" style="1" customWidth="1"/>
    <col min="6168" max="6168" width="2.33203125" style="1" customWidth="1"/>
    <col min="6169" max="6169" width="10" style="1" bestFit="1" customWidth="1"/>
    <col min="6170" max="6400" width="9.109375" style="1"/>
    <col min="6401" max="6401" width="3.109375" style="1" customWidth="1"/>
    <col min="6402" max="6402" width="11.33203125" style="1" customWidth="1"/>
    <col min="6403" max="6404" width="1.6640625" style="1" customWidth="1"/>
    <col min="6405" max="6405" width="2.109375" style="1" customWidth="1"/>
    <col min="6406" max="6406" width="12.88671875" style="1" customWidth="1"/>
    <col min="6407" max="6408" width="1.6640625" style="1" customWidth="1"/>
    <col min="6409" max="6409" width="10" style="1" customWidth="1"/>
    <col min="6410" max="6410" width="1.5546875" style="1" customWidth="1"/>
    <col min="6411" max="6411" width="2.44140625" style="1" customWidth="1"/>
    <col min="6412" max="6412" width="6.5546875" style="1" bestFit="1" customWidth="1"/>
    <col min="6413" max="6413" width="3.44140625" style="1" bestFit="1" customWidth="1"/>
    <col min="6414" max="6414" width="1.88671875" style="1" customWidth="1"/>
    <col min="6415" max="6415" width="1.5546875" style="1" customWidth="1"/>
    <col min="6416" max="6416" width="10.6640625" style="1" customWidth="1"/>
    <col min="6417" max="6418" width="0.88671875" style="1" customWidth="1"/>
    <col min="6419" max="6421" width="12.5546875" style="1" customWidth="1"/>
    <col min="6422" max="6422" width="11.88671875" style="1" bestFit="1" customWidth="1"/>
    <col min="6423" max="6423" width="1.109375" style="1" customWidth="1"/>
    <col min="6424" max="6424" width="2.33203125" style="1" customWidth="1"/>
    <col min="6425" max="6425" width="10" style="1" bestFit="1" customWidth="1"/>
    <col min="6426" max="6656" width="9.109375" style="1"/>
    <col min="6657" max="6657" width="3.109375" style="1" customWidth="1"/>
    <col min="6658" max="6658" width="11.33203125" style="1" customWidth="1"/>
    <col min="6659" max="6660" width="1.6640625" style="1" customWidth="1"/>
    <col min="6661" max="6661" width="2.109375" style="1" customWidth="1"/>
    <col min="6662" max="6662" width="12.88671875" style="1" customWidth="1"/>
    <col min="6663" max="6664" width="1.6640625" style="1" customWidth="1"/>
    <col min="6665" max="6665" width="10" style="1" customWidth="1"/>
    <col min="6666" max="6666" width="1.5546875" style="1" customWidth="1"/>
    <col min="6667" max="6667" width="2.44140625" style="1" customWidth="1"/>
    <col min="6668" max="6668" width="6.5546875" style="1" bestFit="1" customWidth="1"/>
    <col min="6669" max="6669" width="3.44140625" style="1" bestFit="1" customWidth="1"/>
    <col min="6670" max="6670" width="1.88671875" style="1" customWidth="1"/>
    <col min="6671" max="6671" width="1.5546875" style="1" customWidth="1"/>
    <col min="6672" max="6672" width="10.6640625" style="1" customWidth="1"/>
    <col min="6673" max="6674" width="0.88671875" style="1" customWidth="1"/>
    <col min="6675" max="6677" width="12.5546875" style="1" customWidth="1"/>
    <col min="6678" max="6678" width="11.88671875" style="1" bestFit="1" customWidth="1"/>
    <col min="6679" max="6679" width="1.109375" style="1" customWidth="1"/>
    <col min="6680" max="6680" width="2.33203125" style="1" customWidth="1"/>
    <col min="6681" max="6681" width="10" style="1" bestFit="1" customWidth="1"/>
    <col min="6682" max="6912" width="9.109375" style="1"/>
    <col min="6913" max="6913" width="3.109375" style="1" customWidth="1"/>
    <col min="6914" max="6914" width="11.33203125" style="1" customWidth="1"/>
    <col min="6915" max="6916" width="1.6640625" style="1" customWidth="1"/>
    <col min="6917" max="6917" width="2.109375" style="1" customWidth="1"/>
    <col min="6918" max="6918" width="12.88671875" style="1" customWidth="1"/>
    <col min="6919" max="6920" width="1.6640625" style="1" customWidth="1"/>
    <col min="6921" max="6921" width="10" style="1" customWidth="1"/>
    <col min="6922" max="6922" width="1.5546875" style="1" customWidth="1"/>
    <col min="6923" max="6923" width="2.44140625" style="1" customWidth="1"/>
    <col min="6924" max="6924" width="6.5546875" style="1" bestFit="1" customWidth="1"/>
    <col min="6925" max="6925" width="3.44140625" style="1" bestFit="1" customWidth="1"/>
    <col min="6926" max="6926" width="1.88671875" style="1" customWidth="1"/>
    <col min="6927" max="6927" width="1.5546875" style="1" customWidth="1"/>
    <col min="6928" max="6928" width="10.6640625" style="1" customWidth="1"/>
    <col min="6929" max="6930" width="0.88671875" style="1" customWidth="1"/>
    <col min="6931" max="6933" width="12.5546875" style="1" customWidth="1"/>
    <col min="6934" max="6934" width="11.88671875" style="1" bestFit="1" customWidth="1"/>
    <col min="6935" max="6935" width="1.109375" style="1" customWidth="1"/>
    <col min="6936" max="6936" width="2.33203125" style="1" customWidth="1"/>
    <col min="6937" max="6937" width="10" style="1" bestFit="1" customWidth="1"/>
    <col min="6938" max="7168" width="9.109375" style="1"/>
    <col min="7169" max="7169" width="3.109375" style="1" customWidth="1"/>
    <col min="7170" max="7170" width="11.33203125" style="1" customWidth="1"/>
    <col min="7171" max="7172" width="1.6640625" style="1" customWidth="1"/>
    <col min="7173" max="7173" width="2.109375" style="1" customWidth="1"/>
    <col min="7174" max="7174" width="12.88671875" style="1" customWidth="1"/>
    <col min="7175" max="7176" width="1.6640625" style="1" customWidth="1"/>
    <col min="7177" max="7177" width="10" style="1" customWidth="1"/>
    <col min="7178" max="7178" width="1.5546875" style="1" customWidth="1"/>
    <col min="7179" max="7179" width="2.44140625" style="1" customWidth="1"/>
    <col min="7180" max="7180" width="6.5546875" style="1" bestFit="1" customWidth="1"/>
    <col min="7181" max="7181" width="3.44140625" style="1" bestFit="1" customWidth="1"/>
    <col min="7182" max="7182" width="1.88671875" style="1" customWidth="1"/>
    <col min="7183" max="7183" width="1.5546875" style="1" customWidth="1"/>
    <col min="7184" max="7184" width="10.6640625" style="1" customWidth="1"/>
    <col min="7185" max="7186" width="0.88671875" style="1" customWidth="1"/>
    <col min="7187" max="7189" width="12.5546875" style="1" customWidth="1"/>
    <col min="7190" max="7190" width="11.88671875" style="1" bestFit="1" customWidth="1"/>
    <col min="7191" max="7191" width="1.109375" style="1" customWidth="1"/>
    <col min="7192" max="7192" width="2.33203125" style="1" customWidth="1"/>
    <col min="7193" max="7193" width="10" style="1" bestFit="1" customWidth="1"/>
    <col min="7194" max="7424" width="9.109375" style="1"/>
    <col min="7425" max="7425" width="3.109375" style="1" customWidth="1"/>
    <col min="7426" max="7426" width="11.33203125" style="1" customWidth="1"/>
    <col min="7427" max="7428" width="1.6640625" style="1" customWidth="1"/>
    <col min="7429" max="7429" width="2.109375" style="1" customWidth="1"/>
    <col min="7430" max="7430" width="12.88671875" style="1" customWidth="1"/>
    <col min="7431" max="7432" width="1.6640625" style="1" customWidth="1"/>
    <col min="7433" max="7433" width="10" style="1" customWidth="1"/>
    <col min="7434" max="7434" width="1.5546875" style="1" customWidth="1"/>
    <col min="7435" max="7435" width="2.44140625" style="1" customWidth="1"/>
    <col min="7436" max="7436" width="6.5546875" style="1" bestFit="1" customWidth="1"/>
    <col min="7437" max="7437" width="3.44140625" style="1" bestFit="1" customWidth="1"/>
    <col min="7438" max="7438" width="1.88671875" style="1" customWidth="1"/>
    <col min="7439" max="7439" width="1.5546875" style="1" customWidth="1"/>
    <col min="7440" max="7440" width="10.6640625" style="1" customWidth="1"/>
    <col min="7441" max="7442" width="0.88671875" style="1" customWidth="1"/>
    <col min="7443" max="7445" width="12.5546875" style="1" customWidth="1"/>
    <col min="7446" max="7446" width="11.88671875" style="1" bestFit="1" customWidth="1"/>
    <col min="7447" max="7447" width="1.109375" style="1" customWidth="1"/>
    <col min="7448" max="7448" width="2.33203125" style="1" customWidth="1"/>
    <col min="7449" max="7449" width="10" style="1" bestFit="1" customWidth="1"/>
    <col min="7450" max="7680" width="9.109375" style="1"/>
    <col min="7681" max="7681" width="3.109375" style="1" customWidth="1"/>
    <col min="7682" max="7682" width="11.33203125" style="1" customWidth="1"/>
    <col min="7683" max="7684" width="1.6640625" style="1" customWidth="1"/>
    <col min="7685" max="7685" width="2.109375" style="1" customWidth="1"/>
    <col min="7686" max="7686" width="12.88671875" style="1" customWidth="1"/>
    <col min="7687" max="7688" width="1.6640625" style="1" customWidth="1"/>
    <col min="7689" max="7689" width="10" style="1" customWidth="1"/>
    <col min="7690" max="7690" width="1.5546875" style="1" customWidth="1"/>
    <col min="7691" max="7691" width="2.44140625" style="1" customWidth="1"/>
    <col min="7692" max="7692" width="6.5546875" style="1" bestFit="1" customWidth="1"/>
    <col min="7693" max="7693" width="3.44140625" style="1" bestFit="1" customWidth="1"/>
    <col min="7694" max="7694" width="1.88671875" style="1" customWidth="1"/>
    <col min="7695" max="7695" width="1.5546875" style="1" customWidth="1"/>
    <col min="7696" max="7696" width="10.6640625" style="1" customWidth="1"/>
    <col min="7697" max="7698" width="0.88671875" style="1" customWidth="1"/>
    <col min="7699" max="7701" width="12.5546875" style="1" customWidth="1"/>
    <col min="7702" max="7702" width="11.88671875" style="1" bestFit="1" customWidth="1"/>
    <col min="7703" max="7703" width="1.109375" style="1" customWidth="1"/>
    <col min="7704" max="7704" width="2.33203125" style="1" customWidth="1"/>
    <col min="7705" max="7705" width="10" style="1" bestFit="1" customWidth="1"/>
    <col min="7706" max="7936" width="9.109375" style="1"/>
    <col min="7937" max="7937" width="3.109375" style="1" customWidth="1"/>
    <col min="7938" max="7938" width="11.33203125" style="1" customWidth="1"/>
    <col min="7939" max="7940" width="1.6640625" style="1" customWidth="1"/>
    <col min="7941" max="7941" width="2.109375" style="1" customWidth="1"/>
    <col min="7942" max="7942" width="12.88671875" style="1" customWidth="1"/>
    <col min="7943" max="7944" width="1.6640625" style="1" customWidth="1"/>
    <col min="7945" max="7945" width="10" style="1" customWidth="1"/>
    <col min="7946" max="7946" width="1.5546875" style="1" customWidth="1"/>
    <col min="7947" max="7947" width="2.44140625" style="1" customWidth="1"/>
    <col min="7948" max="7948" width="6.5546875" style="1" bestFit="1" customWidth="1"/>
    <col min="7949" max="7949" width="3.44140625" style="1" bestFit="1" customWidth="1"/>
    <col min="7950" max="7950" width="1.88671875" style="1" customWidth="1"/>
    <col min="7951" max="7951" width="1.5546875" style="1" customWidth="1"/>
    <col min="7952" max="7952" width="10.6640625" style="1" customWidth="1"/>
    <col min="7953" max="7954" width="0.88671875" style="1" customWidth="1"/>
    <col min="7955" max="7957" width="12.5546875" style="1" customWidth="1"/>
    <col min="7958" max="7958" width="11.88671875" style="1" bestFit="1" customWidth="1"/>
    <col min="7959" max="7959" width="1.109375" style="1" customWidth="1"/>
    <col min="7960" max="7960" width="2.33203125" style="1" customWidth="1"/>
    <col min="7961" max="7961" width="10" style="1" bestFit="1" customWidth="1"/>
    <col min="7962" max="8192" width="9.109375" style="1"/>
    <col min="8193" max="8193" width="3.109375" style="1" customWidth="1"/>
    <col min="8194" max="8194" width="11.33203125" style="1" customWidth="1"/>
    <col min="8195" max="8196" width="1.6640625" style="1" customWidth="1"/>
    <col min="8197" max="8197" width="2.109375" style="1" customWidth="1"/>
    <col min="8198" max="8198" width="12.88671875" style="1" customWidth="1"/>
    <col min="8199" max="8200" width="1.6640625" style="1" customWidth="1"/>
    <col min="8201" max="8201" width="10" style="1" customWidth="1"/>
    <col min="8202" max="8202" width="1.5546875" style="1" customWidth="1"/>
    <col min="8203" max="8203" width="2.44140625" style="1" customWidth="1"/>
    <col min="8204" max="8204" width="6.5546875" style="1" bestFit="1" customWidth="1"/>
    <col min="8205" max="8205" width="3.44140625" style="1" bestFit="1" customWidth="1"/>
    <col min="8206" max="8206" width="1.88671875" style="1" customWidth="1"/>
    <col min="8207" max="8207" width="1.5546875" style="1" customWidth="1"/>
    <col min="8208" max="8208" width="10.6640625" style="1" customWidth="1"/>
    <col min="8209" max="8210" width="0.88671875" style="1" customWidth="1"/>
    <col min="8211" max="8213" width="12.5546875" style="1" customWidth="1"/>
    <col min="8214" max="8214" width="11.88671875" style="1" bestFit="1" customWidth="1"/>
    <col min="8215" max="8215" width="1.109375" style="1" customWidth="1"/>
    <col min="8216" max="8216" width="2.33203125" style="1" customWidth="1"/>
    <col min="8217" max="8217" width="10" style="1" bestFit="1" customWidth="1"/>
    <col min="8218" max="8448" width="9.109375" style="1"/>
    <col min="8449" max="8449" width="3.109375" style="1" customWidth="1"/>
    <col min="8450" max="8450" width="11.33203125" style="1" customWidth="1"/>
    <col min="8451" max="8452" width="1.6640625" style="1" customWidth="1"/>
    <col min="8453" max="8453" width="2.109375" style="1" customWidth="1"/>
    <col min="8454" max="8454" width="12.88671875" style="1" customWidth="1"/>
    <col min="8455" max="8456" width="1.6640625" style="1" customWidth="1"/>
    <col min="8457" max="8457" width="10" style="1" customWidth="1"/>
    <col min="8458" max="8458" width="1.5546875" style="1" customWidth="1"/>
    <col min="8459" max="8459" width="2.44140625" style="1" customWidth="1"/>
    <col min="8460" max="8460" width="6.5546875" style="1" bestFit="1" customWidth="1"/>
    <col min="8461" max="8461" width="3.44140625" style="1" bestFit="1" customWidth="1"/>
    <col min="8462" max="8462" width="1.88671875" style="1" customWidth="1"/>
    <col min="8463" max="8463" width="1.5546875" style="1" customWidth="1"/>
    <col min="8464" max="8464" width="10.6640625" style="1" customWidth="1"/>
    <col min="8465" max="8466" width="0.88671875" style="1" customWidth="1"/>
    <col min="8467" max="8469" width="12.5546875" style="1" customWidth="1"/>
    <col min="8470" max="8470" width="11.88671875" style="1" bestFit="1" customWidth="1"/>
    <col min="8471" max="8471" width="1.109375" style="1" customWidth="1"/>
    <col min="8472" max="8472" width="2.33203125" style="1" customWidth="1"/>
    <col min="8473" max="8473" width="10" style="1" bestFit="1" customWidth="1"/>
    <col min="8474" max="8704" width="9.109375" style="1"/>
    <col min="8705" max="8705" width="3.109375" style="1" customWidth="1"/>
    <col min="8706" max="8706" width="11.33203125" style="1" customWidth="1"/>
    <col min="8707" max="8708" width="1.6640625" style="1" customWidth="1"/>
    <col min="8709" max="8709" width="2.109375" style="1" customWidth="1"/>
    <col min="8710" max="8710" width="12.88671875" style="1" customWidth="1"/>
    <col min="8711" max="8712" width="1.6640625" style="1" customWidth="1"/>
    <col min="8713" max="8713" width="10" style="1" customWidth="1"/>
    <col min="8714" max="8714" width="1.5546875" style="1" customWidth="1"/>
    <col min="8715" max="8715" width="2.44140625" style="1" customWidth="1"/>
    <col min="8716" max="8716" width="6.5546875" style="1" bestFit="1" customWidth="1"/>
    <col min="8717" max="8717" width="3.44140625" style="1" bestFit="1" customWidth="1"/>
    <col min="8718" max="8718" width="1.88671875" style="1" customWidth="1"/>
    <col min="8719" max="8719" width="1.5546875" style="1" customWidth="1"/>
    <col min="8720" max="8720" width="10.6640625" style="1" customWidth="1"/>
    <col min="8721" max="8722" width="0.88671875" style="1" customWidth="1"/>
    <col min="8723" max="8725" width="12.5546875" style="1" customWidth="1"/>
    <col min="8726" max="8726" width="11.88671875" style="1" bestFit="1" customWidth="1"/>
    <col min="8727" max="8727" width="1.109375" style="1" customWidth="1"/>
    <col min="8728" max="8728" width="2.33203125" style="1" customWidth="1"/>
    <col min="8729" max="8729" width="10" style="1" bestFit="1" customWidth="1"/>
    <col min="8730" max="8960" width="9.109375" style="1"/>
    <col min="8961" max="8961" width="3.109375" style="1" customWidth="1"/>
    <col min="8962" max="8962" width="11.33203125" style="1" customWidth="1"/>
    <col min="8963" max="8964" width="1.6640625" style="1" customWidth="1"/>
    <col min="8965" max="8965" width="2.109375" style="1" customWidth="1"/>
    <col min="8966" max="8966" width="12.88671875" style="1" customWidth="1"/>
    <col min="8967" max="8968" width="1.6640625" style="1" customWidth="1"/>
    <col min="8969" max="8969" width="10" style="1" customWidth="1"/>
    <col min="8970" max="8970" width="1.5546875" style="1" customWidth="1"/>
    <col min="8971" max="8971" width="2.44140625" style="1" customWidth="1"/>
    <col min="8972" max="8972" width="6.5546875" style="1" bestFit="1" customWidth="1"/>
    <col min="8973" max="8973" width="3.44140625" style="1" bestFit="1" customWidth="1"/>
    <col min="8974" max="8974" width="1.88671875" style="1" customWidth="1"/>
    <col min="8975" max="8975" width="1.5546875" style="1" customWidth="1"/>
    <col min="8976" max="8976" width="10.6640625" style="1" customWidth="1"/>
    <col min="8977" max="8978" width="0.88671875" style="1" customWidth="1"/>
    <col min="8979" max="8981" width="12.5546875" style="1" customWidth="1"/>
    <col min="8982" max="8982" width="11.88671875" style="1" bestFit="1" customWidth="1"/>
    <col min="8983" max="8983" width="1.109375" style="1" customWidth="1"/>
    <col min="8984" max="8984" width="2.33203125" style="1" customWidth="1"/>
    <col min="8985" max="8985" width="10" style="1" bestFit="1" customWidth="1"/>
    <col min="8986" max="9216" width="9.109375" style="1"/>
    <col min="9217" max="9217" width="3.109375" style="1" customWidth="1"/>
    <col min="9218" max="9218" width="11.33203125" style="1" customWidth="1"/>
    <col min="9219" max="9220" width="1.6640625" style="1" customWidth="1"/>
    <col min="9221" max="9221" width="2.109375" style="1" customWidth="1"/>
    <col min="9222" max="9222" width="12.88671875" style="1" customWidth="1"/>
    <col min="9223" max="9224" width="1.6640625" style="1" customWidth="1"/>
    <col min="9225" max="9225" width="10" style="1" customWidth="1"/>
    <col min="9226" max="9226" width="1.5546875" style="1" customWidth="1"/>
    <col min="9227" max="9227" width="2.44140625" style="1" customWidth="1"/>
    <col min="9228" max="9228" width="6.5546875" style="1" bestFit="1" customWidth="1"/>
    <col min="9229" max="9229" width="3.44140625" style="1" bestFit="1" customWidth="1"/>
    <col min="9230" max="9230" width="1.88671875" style="1" customWidth="1"/>
    <col min="9231" max="9231" width="1.5546875" style="1" customWidth="1"/>
    <col min="9232" max="9232" width="10.6640625" style="1" customWidth="1"/>
    <col min="9233" max="9234" width="0.88671875" style="1" customWidth="1"/>
    <col min="9235" max="9237" width="12.5546875" style="1" customWidth="1"/>
    <col min="9238" max="9238" width="11.88671875" style="1" bestFit="1" customWidth="1"/>
    <col min="9239" max="9239" width="1.109375" style="1" customWidth="1"/>
    <col min="9240" max="9240" width="2.33203125" style="1" customWidth="1"/>
    <col min="9241" max="9241" width="10" style="1" bestFit="1" customWidth="1"/>
    <col min="9242" max="9472" width="9.109375" style="1"/>
    <col min="9473" max="9473" width="3.109375" style="1" customWidth="1"/>
    <col min="9474" max="9474" width="11.33203125" style="1" customWidth="1"/>
    <col min="9475" max="9476" width="1.6640625" style="1" customWidth="1"/>
    <col min="9477" max="9477" width="2.109375" style="1" customWidth="1"/>
    <col min="9478" max="9478" width="12.88671875" style="1" customWidth="1"/>
    <col min="9479" max="9480" width="1.6640625" style="1" customWidth="1"/>
    <col min="9481" max="9481" width="10" style="1" customWidth="1"/>
    <col min="9482" max="9482" width="1.5546875" style="1" customWidth="1"/>
    <col min="9483" max="9483" width="2.44140625" style="1" customWidth="1"/>
    <col min="9484" max="9484" width="6.5546875" style="1" bestFit="1" customWidth="1"/>
    <col min="9485" max="9485" width="3.44140625" style="1" bestFit="1" customWidth="1"/>
    <col min="9486" max="9486" width="1.88671875" style="1" customWidth="1"/>
    <col min="9487" max="9487" width="1.5546875" style="1" customWidth="1"/>
    <col min="9488" max="9488" width="10.6640625" style="1" customWidth="1"/>
    <col min="9489" max="9490" width="0.88671875" style="1" customWidth="1"/>
    <col min="9491" max="9493" width="12.5546875" style="1" customWidth="1"/>
    <col min="9494" max="9494" width="11.88671875" style="1" bestFit="1" customWidth="1"/>
    <col min="9495" max="9495" width="1.109375" style="1" customWidth="1"/>
    <col min="9496" max="9496" width="2.33203125" style="1" customWidth="1"/>
    <col min="9497" max="9497" width="10" style="1" bestFit="1" customWidth="1"/>
    <col min="9498" max="9728" width="9.109375" style="1"/>
    <col min="9729" max="9729" width="3.109375" style="1" customWidth="1"/>
    <col min="9730" max="9730" width="11.33203125" style="1" customWidth="1"/>
    <col min="9731" max="9732" width="1.6640625" style="1" customWidth="1"/>
    <col min="9733" max="9733" width="2.109375" style="1" customWidth="1"/>
    <col min="9734" max="9734" width="12.88671875" style="1" customWidth="1"/>
    <col min="9735" max="9736" width="1.6640625" style="1" customWidth="1"/>
    <col min="9737" max="9737" width="10" style="1" customWidth="1"/>
    <col min="9738" max="9738" width="1.5546875" style="1" customWidth="1"/>
    <col min="9739" max="9739" width="2.44140625" style="1" customWidth="1"/>
    <col min="9740" max="9740" width="6.5546875" style="1" bestFit="1" customWidth="1"/>
    <col min="9741" max="9741" width="3.44140625" style="1" bestFit="1" customWidth="1"/>
    <col min="9742" max="9742" width="1.88671875" style="1" customWidth="1"/>
    <col min="9743" max="9743" width="1.5546875" style="1" customWidth="1"/>
    <col min="9744" max="9744" width="10.6640625" style="1" customWidth="1"/>
    <col min="9745" max="9746" width="0.88671875" style="1" customWidth="1"/>
    <col min="9747" max="9749" width="12.5546875" style="1" customWidth="1"/>
    <col min="9750" max="9750" width="11.88671875" style="1" bestFit="1" customWidth="1"/>
    <col min="9751" max="9751" width="1.109375" style="1" customWidth="1"/>
    <col min="9752" max="9752" width="2.33203125" style="1" customWidth="1"/>
    <col min="9753" max="9753" width="10" style="1" bestFit="1" customWidth="1"/>
    <col min="9754" max="9984" width="9.109375" style="1"/>
    <col min="9985" max="9985" width="3.109375" style="1" customWidth="1"/>
    <col min="9986" max="9986" width="11.33203125" style="1" customWidth="1"/>
    <col min="9987" max="9988" width="1.6640625" style="1" customWidth="1"/>
    <col min="9989" max="9989" width="2.109375" style="1" customWidth="1"/>
    <col min="9990" max="9990" width="12.88671875" style="1" customWidth="1"/>
    <col min="9991" max="9992" width="1.6640625" style="1" customWidth="1"/>
    <col min="9993" max="9993" width="10" style="1" customWidth="1"/>
    <col min="9994" max="9994" width="1.5546875" style="1" customWidth="1"/>
    <col min="9995" max="9995" width="2.44140625" style="1" customWidth="1"/>
    <col min="9996" max="9996" width="6.5546875" style="1" bestFit="1" customWidth="1"/>
    <col min="9997" max="9997" width="3.44140625" style="1" bestFit="1" customWidth="1"/>
    <col min="9998" max="9998" width="1.88671875" style="1" customWidth="1"/>
    <col min="9999" max="9999" width="1.5546875" style="1" customWidth="1"/>
    <col min="10000" max="10000" width="10.6640625" style="1" customWidth="1"/>
    <col min="10001" max="10002" width="0.88671875" style="1" customWidth="1"/>
    <col min="10003" max="10005" width="12.5546875" style="1" customWidth="1"/>
    <col min="10006" max="10006" width="11.88671875" style="1" bestFit="1" customWidth="1"/>
    <col min="10007" max="10007" width="1.109375" style="1" customWidth="1"/>
    <col min="10008" max="10008" width="2.33203125" style="1" customWidth="1"/>
    <col min="10009" max="10009" width="10" style="1" bestFit="1" customWidth="1"/>
    <col min="10010" max="10240" width="9.109375" style="1"/>
    <col min="10241" max="10241" width="3.109375" style="1" customWidth="1"/>
    <col min="10242" max="10242" width="11.33203125" style="1" customWidth="1"/>
    <col min="10243" max="10244" width="1.6640625" style="1" customWidth="1"/>
    <col min="10245" max="10245" width="2.109375" style="1" customWidth="1"/>
    <col min="10246" max="10246" width="12.88671875" style="1" customWidth="1"/>
    <col min="10247" max="10248" width="1.6640625" style="1" customWidth="1"/>
    <col min="10249" max="10249" width="10" style="1" customWidth="1"/>
    <col min="10250" max="10250" width="1.5546875" style="1" customWidth="1"/>
    <col min="10251" max="10251" width="2.44140625" style="1" customWidth="1"/>
    <col min="10252" max="10252" width="6.5546875" style="1" bestFit="1" customWidth="1"/>
    <col min="10253" max="10253" width="3.44140625" style="1" bestFit="1" customWidth="1"/>
    <col min="10254" max="10254" width="1.88671875" style="1" customWidth="1"/>
    <col min="10255" max="10255" width="1.5546875" style="1" customWidth="1"/>
    <col min="10256" max="10256" width="10.6640625" style="1" customWidth="1"/>
    <col min="10257" max="10258" width="0.88671875" style="1" customWidth="1"/>
    <col min="10259" max="10261" width="12.5546875" style="1" customWidth="1"/>
    <col min="10262" max="10262" width="11.88671875" style="1" bestFit="1" customWidth="1"/>
    <col min="10263" max="10263" width="1.109375" style="1" customWidth="1"/>
    <col min="10264" max="10264" width="2.33203125" style="1" customWidth="1"/>
    <col min="10265" max="10265" width="10" style="1" bestFit="1" customWidth="1"/>
    <col min="10266" max="10496" width="9.109375" style="1"/>
    <col min="10497" max="10497" width="3.109375" style="1" customWidth="1"/>
    <col min="10498" max="10498" width="11.33203125" style="1" customWidth="1"/>
    <col min="10499" max="10500" width="1.6640625" style="1" customWidth="1"/>
    <col min="10501" max="10501" width="2.109375" style="1" customWidth="1"/>
    <col min="10502" max="10502" width="12.88671875" style="1" customWidth="1"/>
    <col min="10503" max="10504" width="1.6640625" style="1" customWidth="1"/>
    <col min="10505" max="10505" width="10" style="1" customWidth="1"/>
    <col min="10506" max="10506" width="1.5546875" style="1" customWidth="1"/>
    <col min="10507" max="10507" width="2.44140625" style="1" customWidth="1"/>
    <col min="10508" max="10508" width="6.5546875" style="1" bestFit="1" customWidth="1"/>
    <col min="10509" max="10509" width="3.44140625" style="1" bestFit="1" customWidth="1"/>
    <col min="10510" max="10510" width="1.88671875" style="1" customWidth="1"/>
    <col min="10511" max="10511" width="1.5546875" style="1" customWidth="1"/>
    <col min="10512" max="10512" width="10.6640625" style="1" customWidth="1"/>
    <col min="10513" max="10514" width="0.88671875" style="1" customWidth="1"/>
    <col min="10515" max="10517" width="12.5546875" style="1" customWidth="1"/>
    <col min="10518" max="10518" width="11.88671875" style="1" bestFit="1" customWidth="1"/>
    <col min="10519" max="10519" width="1.109375" style="1" customWidth="1"/>
    <col min="10520" max="10520" width="2.33203125" style="1" customWidth="1"/>
    <col min="10521" max="10521" width="10" style="1" bestFit="1" customWidth="1"/>
    <col min="10522" max="10752" width="9.109375" style="1"/>
    <col min="10753" max="10753" width="3.109375" style="1" customWidth="1"/>
    <col min="10754" max="10754" width="11.33203125" style="1" customWidth="1"/>
    <col min="10755" max="10756" width="1.6640625" style="1" customWidth="1"/>
    <col min="10757" max="10757" width="2.109375" style="1" customWidth="1"/>
    <col min="10758" max="10758" width="12.88671875" style="1" customWidth="1"/>
    <col min="10759" max="10760" width="1.6640625" style="1" customWidth="1"/>
    <col min="10761" max="10761" width="10" style="1" customWidth="1"/>
    <col min="10762" max="10762" width="1.5546875" style="1" customWidth="1"/>
    <col min="10763" max="10763" width="2.44140625" style="1" customWidth="1"/>
    <col min="10764" max="10764" width="6.5546875" style="1" bestFit="1" customWidth="1"/>
    <col min="10765" max="10765" width="3.44140625" style="1" bestFit="1" customWidth="1"/>
    <col min="10766" max="10766" width="1.88671875" style="1" customWidth="1"/>
    <col min="10767" max="10767" width="1.5546875" style="1" customWidth="1"/>
    <col min="10768" max="10768" width="10.6640625" style="1" customWidth="1"/>
    <col min="10769" max="10770" width="0.88671875" style="1" customWidth="1"/>
    <col min="10771" max="10773" width="12.5546875" style="1" customWidth="1"/>
    <col min="10774" max="10774" width="11.88671875" style="1" bestFit="1" customWidth="1"/>
    <col min="10775" max="10775" width="1.109375" style="1" customWidth="1"/>
    <col min="10776" max="10776" width="2.33203125" style="1" customWidth="1"/>
    <col min="10777" max="10777" width="10" style="1" bestFit="1" customWidth="1"/>
    <col min="10778" max="11008" width="9.109375" style="1"/>
    <col min="11009" max="11009" width="3.109375" style="1" customWidth="1"/>
    <col min="11010" max="11010" width="11.33203125" style="1" customWidth="1"/>
    <col min="11011" max="11012" width="1.6640625" style="1" customWidth="1"/>
    <col min="11013" max="11013" width="2.109375" style="1" customWidth="1"/>
    <col min="11014" max="11014" width="12.88671875" style="1" customWidth="1"/>
    <col min="11015" max="11016" width="1.6640625" style="1" customWidth="1"/>
    <col min="11017" max="11017" width="10" style="1" customWidth="1"/>
    <col min="11018" max="11018" width="1.5546875" style="1" customWidth="1"/>
    <col min="11019" max="11019" width="2.44140625" style="1" customWidth="1"/>
    <col min="11020" max="11020" width="6.5546875" style="1" bestFit="1" customWidth="1"/>
    <col min="11021" max="11021" width="3.44140625" style="1" bestFit="1" customWidth="1"/>
    <col min="11022" max="11022" width="1.88671875" style="1" customWidth="1"/>
    <col min="11023" max="11023" width="1.5546875" style="1" customWidth="1"/>
    <col min="11024" max="11024" width="10.6640625" style="1" customWidth="1"/>
    <col min="11025" max="11026" width="0.88671875" style="1" customWidth="1"/>
    <col min="11027" max="11029" width="12.5546875" style="1" customWidth="1"/>
    <col min="11030" max="11030" width="11.88671875" style="1" bestFit="1" customWidth="1"/>
    <col min="11031" max="11031" width="1.109375" style="1" customWidth="1"/>
    <col min="11032" max="11032" width="2.33203125" style="1" customWidth="1"/>
    <col min="11033" max="11033" width="10" style="1" bestFit="1" customWidth="1"/>
    <col min="11034" max="11264" width="9.109375" style="1"/>
    <col min="11265" max="11265" width="3.109375" style="1" customWidth="1"/>
    <col min="11266" max="11266" width="11.33203125" style="1" customWidth="1"/>
    <col min="11267" max="11268" width="1.6640625" style="1" customWidth="1"/>
    <col min="11269" max="11269" width="2.109375" style="1" customWidth="1"/>
    <col min="11270" max="11270" width="12.88671875" style="1" customWidth="1"/>
    <col min="11271" max="11272" width="1.6640625" style="1" customWidth="1"/>
    <col min="11273" max="11273" width="10" style="1" customWidth="1"/>
    <col min="11274" max="11274" width="1.5546875" style="1" customWidth="1"/>
    <col min="11275" max="11275" width="2.44140625" style="1" customWidth="1"/>
    <col min="11276" max="11276" width="6.5546875" style="1" bestFit="1" customWidth="1"/>
    <col min="11277" max="11277" width="3.44140625" style="1" bestFit="1" customWidth="1"/>
    <col min="11278" max="11278" width="1.88671875" style="1" customWidth="1"/>
    <col min="11279" max="11279" width="1.5546875" style="1" customWidth="1"/>
    <col min="11280" max="11280" width="10.6640625" style="1" customWidth="1"/>
    <col min="11281" max="11282" width="0.88671875" style="1" customWidth="1"/>
    <col min="11283" max="11285" width="12.5546875" style="1" customWidth="1"/>
    <col min="11286" max="11286" width="11.88671875" style="1" bestFit="1" customWidth="1"/>
    <col min="11287" max="11287" width="1.109375" style="1" customWidth="1"/>
    <col min="11288" max="11288" width="2.33203125" style="1" customWidth="1"/>
    <col min="11289" max="11289" width="10" style="1" bestFit="1" customWidth="1"/>
    <col min="11290" max="11520" width="9.109375" style="1"/>
    <col min="11521" max="11521" width="3.109375" style="1" customWidth="1"/>
    <col min="11522" max="11522" width="11.33203125" style="1" customWidth="1"/>
    <col min="11523" max="11524" width="1.6640625" style="1" customWidth="1"/>
    <col min="11525" max="11525" width="2.109375" style="1" customWidth="1"/>
    <col min="11526" max="11526" width="12.88671875" style="1" customWidth="1"/>
    <col min="11527" max="11528" width="1.6640625" style="1" customWidth="1"/>
    <col min="11529" max="11529" width="10" style="1" customWidth="1"/>
    <col min="11530" max="11530" width="1.5546875" style="1" customWidth="1"/>
    <col min="11531" max="11531" width="2.44140625" style="1" customWidth="1"/>
    <col min="11532" max="11532" width="6.5546875" style="1" bestFit="1" customWidth="1"/>
    <col min="11533" max="11533" width="3.44140625" style="1" bestFit="1" customWidth="1"/>
    <col min="11534" max="11534" width="1.88671875" style="1" customWidth="1"/>
    <col min="11535" max="11535" width="1.5546875" style="1" customWidth="1"/>
    <col min="11536" max="11536" width="10.6640625" style="1" customWidth="1"/>
    <col min="11537" max="11538" width="0.88671875" style="1" customWidth="1"/>
    <col min="11539" max="11541" width="12.5546875" style="1" customWidth="1"/>
    <col min="11542" max="11542" width="11.88671875" style="1" bestFit="1" customWidth="1"/>
    <col min="11543" max="11543" width="1.109375" style="1" customWidth="1"/>
    <col min="11544" max="11544" width="2.33203125" style="1" customWidth="1"/>
    <col min="11545" max="11545" width="10" style="1" bestFit="1" customWidth="1"/>
    <col min="11546" max="11776" width="9.109375" style="1"/>
    <col min="11777" max="11777" width="3.109375" style="1" customWidth="1"/>
    <col min="11778" max="11778" width="11.33203125" style="1" customWidth="1"/>
    <col min="11779" max="11780" width="1.6640625" style="1" customWidth="1"/>
    <col min="11781" max="11781" width="2.109375" style="1" customWidth="1"/>
    <col min="11782" max="11782" width="12.88671875" style="1" customWidth="1"/>
    <col min="11783" max="11784" width="1.6640625" style="1" customWidth="1"/>
    <col min="11785" max="11785" width="10" style="1" customWidth="1"/>
    <col min="11786" max="11786" width="1.5546875" style="1" customWidth="1"/>
    <col min="11787" max="11787" width="2.44140625" style="1" customWidth="1"/>
    <col min="11788" max="11788" width="6.5546875" style="1" bestFit="1" customWidth="1"/>
    <col min="11789" max="11789" width="3.44140625" style="1" bestFit="1" customWidth="1"/>
    <col min="11790" max="11790" width="1.88671875" style="1" customWidth="1"/>
    <col min="11791" max="11791" width="1.5546875" style="1" customWidth="1"/>
    <col min="11792" max="11792" width="10.6640625" style="1" customWidth="1"/>
    <col min="11793" max="11794" width="0.88671875" style="1" customWidth="1"/>
    <col min="11795" max="11797" width="12.5546875" style="1" customWidth="1"/>
    <col min="11798" max="11798" width="11.88671875" style="1" bestFit="1" customWidth="1"/>
    <col min="11799" max="11799" width="1.109375" style="1" customWidth="1"/>
    <col min="11800" max="11800" width="2.33203125" style="1" customWidth="1"/>
    <col min="11801" max="11801" width="10" style="1" bestFit="1" customWidth="1"/>
    <col min="11802" max="12032" width="9.109375" style="1"/>
    <col min="12033" max="12033" width="3.109375" style="1" customWidth="1"/>
    <col min="12034" max="12034" width="11.33203125" style="1" customWidth="1"/>
    <col min="12035" max="12036" width="1.6640625" style="1" customWidth="1"/>
    <col min="12037" max="12037" width="2.109375" style="1" customWidth="1"/>
    <col min="12038" max="12038" width="12.88671875" style="1" customWidth="1"/>
    <col min="12039" max="12040" width="1.6640625" style="1" customWidth="1"/>
    <col min="12041" max="12041" width="10" style="1" customWidth="1"/>
    <col min="12042" max="12042" width="1.5546875" style="1" customWidth="1"/>
    <col min="12043" max="12043" width="2.44140625" style="1" customWidth="1"/>
    <col min="12044" max="12044" width="6.5546875" style="1" bestFit="1" customWidth="1"/>
    <col min="12045" max="12045" width="3.44140625" style="1" bestFit="1" customWidth="1"/>
    <col min="12046" max="12046" width="1.88671875" style="1" customWidth="1"/>
    <col min="12047" max="12047" width="1.5546875" style="1" customWidth="1"/>
    <col min="12048" max="12048" width="10.6640625" style="1" customWidth="1"/>
    <col min="12049" max="12050" width="0.88671875" style="1" customWidth="1"/>
    <col min="12051" max="12053" width="12.5546875" style="1" customWidth="1"/>
    <col min="12054" max="12054" width="11.88671875" style="1" bestFit="1" customWidth="1"/>
    <col min="12055" max="12055" width="1.109375" style="1" customWidth="1"/>
    <col min="12056" max="12056" width="2.33203125" style="1" customWidth="1"/>
    <col min="12057" max="12057" width="10" style="1" bestFit="1" customWidth="1"/>
    <col min="12058" max="12288" width="9.109375" style="1"/>
    <col min="12289" max="12289" width="3.109375" style="1" customWidth="1"/>
    <col min="12290" max="12290" width="11.33203125" style="1" customWidth="1"/>
    <col min="12291" max="12292" width="1.6640625" style="1" customWidth="1"/>
    <col min="12293" max="12293" width="2.109375" style="1" customWidth="1"/>
    <col min="12294" max="12294" width="12.88671875" style="1" customWidth="1"/>
    <col min="12295" max="12296" width="1.6640625" style="1" customWidth="1"/>
    <col min="12297" max="12297" width="10" style="1" customWidth="1"/>
    <col min="12298" max="12298" width="1.5546875" style="1" customWidth="1"/>
    <col min="12299" max="12299" width="2.44140625" style="1" customWidth="1"/>
    <col min="12300" max="12300" width="6.5546875" style="1" bestFit="1" customWidth="1"/>
    <col min="12301" max="12301" width="3.44140625" style="1" bestFit="1" customWidth="1"/>
    <col min="12302" max="12302" width="1.88671875" style="1" customWidth="1"/>
    <col min="12303" max="12303" width="1.5546875" style="1" customWidth="1"/>
    <col min="12304" max="12304" width="10.6640625" style="1" customWidth="1"/>
    <col min="12305" max="12306" width="0.88671875" style="1" customWidth="1"/>
    <col min="12307" max="12309" width="12.5546875" style="1" customWidth="1"/>
    <col min="12310" max="12310" width="11.88671875" style="1" bestFit="1" customWidth="1"/>
    <col min="12311" max="12311" width="1.109375" style="1" customWidth="1"/>
    <col min="12312" max="12312" width="2.33203125" style="1" customWidth="1"/>
    <col min="12313" max="12313" width="10" style="1" bestFit="1" customWidth="1"/>
    <col min="12314" max="12544" width="9.109375" style="1"/>
    <col min="12545" max="12545" width="3.109375" style="1" customWidth="1"/>
    <col min="12546" max="12546" width="11.33203125" style="1" customWidth="1"/>
    <col min="12547" max="12548" width="1.6640625" style="1" customWidth="1"/>
    <col min="12549" max="12549" width="2.109375" style="1" customWidth="1"/>
    <col min="12550" max="12550" width="12.88671875" style="1" customWidth="1"/>
    <col min="12551" max="12552" width="1.6640625" style="1" customWidth="1"/>
    <col min="12553" max="12553" width="10" style="1" customWidth="1"/>
    <col min="12554" max="12554" width="1.5546875" style="1" customWidth="1"/>
    <col min="12555" max="12555" width="2.44140625" style="1" customWidth="1"/>
    <col min="12556" max="12556" width="6.5546875" style="1" bestFit="1" customWidth="1"/>
    <col min="12557" max="12557" width="3.44140625" style="1" bestFit="1" customWidth="1"/>
    <col min="12558" max="12558" width="1.88671875" style="1" customWidth="1"/>
    <col min="12559" max="12559" width="1.5546875" style="1" customWidth="1"/>
    <col min="12560" max="12560" width="10.6640625" style="1" customWidth="1"/>
    <col min="12561" max="12562" width="0.88671875" style="1" customWidth="1"/>
    <col min="12563" max="12565" width="12.5546875" style="1" customWidth="1"/>
    <col min="12566" max="12566" width="11.88671875" style="1" bestFit="1" customWidth="1"/>
    <col min="12567" max="12567" width="1.109375" style="1" customWidth="1"/>
    <col min="12568" max="12568" width="2.33203125" style="1" customWidth="1"/>
    <col min="12569" max="12569" width="10" style="1" bestFit="1" customWidth="1"/>
    <col min="12570" max="12800" width="9.109375" style="1"/>
    <col min="12801" max="12801" width="3.109375" style="1" customWidth="1"/>
    <col min="12802" max="12802" width="11.33203125" style="1" customWidth="1"/>
    <col min="12803" max="12804" width="1.6640625" style="1" customWidth="1"/>
    <col min="12805" max="12805" width="2.109375" style="1" customWidth="1"/>
    <col min="12806" max="12806" width="12.88671875" style="1" customWidth="1"/>
    <col min="12807" max="12808" width="1.6640625" style="1" customWidth="1"/>
    <col min="12809" max="12809" width="10" style="1" customWidth="1"/>
    <col min="12810" max="12810" width="1.5546875" style="1" customWidth="1"/>
    <col min="12811" max="12811" width="2.44140625" style="1" customWidth="1"/>
    <col min="12812" max="12812" width="6.5546875" style="1" bestFit="1" customWidth="1"/>
    <col min="12813" max="12813" width="3.44140625" style="1" bestFit="1" customWidth="1"/>
    <col min="12814" max="12814" width="1.88671875" style="1" customWidth="1"/>
    <col min="12815" max="12815" width="1.5546875" style="1" customWidth="1"/>
    <col min="12816" max="12816" width="10.6640625" style="1" customWidth="1"/>
    <col min="12817" max="12818" width="0.88671875" style="1" customWidth="1"/>
    <col min="12819" max="12821" width="12.5546875" style="1" customWidth="1"/>
    <col min="12822" max="12822" width="11.88671875" style="1" bestFit="1" customWidth="1"/>
    <col min="12823" max="12823" width="1.109375" style="1" customWidth="1"/>
    <col min="12824" max="12824" width="2.33203125" style="1" customWidth="1"/>
    <col min="12825" max="12825" width="10" style="1" bestFit="1" customWidth="1"/>
    <col min="12826" max="13056" width="9.109375" style="1"/>
    <col min="13057" max="13057" width="3.109375" style="1" customWidth="1"/>
    <col min="13058" max="13058" width="11.33203125" style="1" customWidth="1"/>
    <col min="13059" max="13060" width="1.6640625" style="1" customWidth="1"/>
    <col min="13061" max="13061" width="2.109375" style="1" customWidth="1"/>
    <col min="13062" max="13062" width="12.88671875" style="1" customWidth="1"/>
    <col min="13063" max="13064" width="1.6640625" style="1" customWidth="1"/>
    <col min="13065" max="13065" width="10" style="1" customWidth="1"/>
    <col min="13066" max="13066" width="1.5546875" style="1" customWidth="1"/>
    <col min="13067" max="13067" width="2.44140625" style="1" customWidth="1"/>
    <col min="13068" max="13068" width="6.5546875" style="1" bestFit="1" customWidth="1"/>
    <col min="13069" max="13069" width="3.44140625" style="1" bestFit="1" customWidth="1"/>
    <col min="13070" max="13070" width="1.88671875" style="1" customWidth="1"/>
    <col min="13071" max="13071" width="1.5546875" style="1" customWidth="1"/>
    <col min="13072" max="13072" width="10.6640625" style="1" customWidth="1"/>
    <col min="13073" max="13074" width="0.88671875" style="1" customWidth="1"/>
    <col min="13075" max="13077" width="12.5546875" style="1" customWidth="1"/>
    <col min="13078" max="13078" width="11.88671875" style="1" bestFit="1" customWidth="1"/>
    <col min="13079" max="13079" width="1.109375" style="1" customWidth="1"/>
    <col min="13080" max="13080" width="2.33203125" style="1" customWidth="1"/>
    <col min="13081" max="13081" width="10" style="1" bestFit="1" customWidth="1"/>
    <col min="13082" max="13312" width="9.109375" style="1"/>
    <col min="13313" max="13313" width="3.109375" style="1" customWidth="1"/>
    <col min="13314" max="13314" width="11.33203125" style="1" customWidth="1"/>
    <col min="13315" max="13316" width="1.6640625" style="1" customWidth="1"/>
    <col min="13317" max="13317" width="2.109375" style="1" customWidth="1"/>
    <col min="13318" max="13318" width="12.88671875" style="1" customWidth="1"/>
    <col min="13319" max="13320" width="1.6640625" style="1" customWidth="1"/>
    <col min="13321" max="13321" width="10" style="1" customWidth="1"/>
    <col min="13322" max="13322" width="1.5546875" style="1" customWidth="1"/>
    <col min="13323" max="13323" width="2.44140625" style="1" customWidth="1"/>
    <col min="13324" max="13324" width="6.5546875" style="1" bestFit="1" customWidth="1"/>
    <col min="13325" max="13325" width="3.44140625" style="1" bestFit="1" customWidth="1"/>
    <col min="13326" max="13326" width="1.88671875" style="1" customWidth="1"/>
    <col min="13327" max="13327" width="1.5546875" style="1" customWidth="1"/>
    <col min="13328" max="13328" width="10.6640625" style="1" customWidth="1"/>
    <col min="13329" max="13330" width="0.88671875" style="1" customWidth="1"/>
    <col min="13331" max="13333" width="12.5546875" style="1" customWidth="1"/>
    <col min="13334" max="13334" width="11.88671875" style="1" bestFit="1" customWidth="1"/>
    <col min="13335" max="13335" width="1.109375" style="1" customWidth="1"/>
    <col min="13336" max="13336" width="2.33203125" style="1" customWidth="1"/>
    <col min="13337" max="13337" width="10" style="1" bestFit="1" customWidth="1"/>
    <col min="13338" max="13568" width="9.109375" style="1"/>
    <col min="13569" max="13569" width="3.109375" style="1" customWidth="1"/>
    <col min="13570" max="13570" width="11.33203125" style="1" customWidth="1"/>
    <col min="13571" max="13572" width="1.6640625" style="1" customWidth="1"/>
    <col min="13573" max="13573" width="2.109375" style="1" customWidth="1"/>
    <col min="13574" max="13574" width="12.88671875" style="1" customWidth="1"/>
    <col min="13575" max="13576" width="1.6640625" style="1" customWidth="1"/>
    <col min="13577" max="13577" width="10" style="1" customWidth="1"/>
    <col min="13578" max="13578" width="1.5546875" style="1" customWidth="1"/>
    <col min="13579" max="13579" width="2.44140625" style="1" customWidth="1"/>
    <col min="13580" max="13580" width="6.5546875" style="1" bestFit="1" customWidth="1"/>
    <col min="13581" max="13581" width="3.44140625" style="1" bestFit="1" customWidth="1"/>
    <col min="13582" max="13582" width="1.88671875" style="1" customWidth="1"/>
    <col min="13583" max="13583" width="1.5546875" style="1" customWidth="1"/>
    <col min="13584" max="13584" width="10.6640625" style="1" customWidth="1"/>
    <col min="13585" max="13586" width="0.88671875" style="1" customWidth="1"/>
    <col min="13587" max="13589" width="12.5546875" style="1" customWidth="1"/>
    <col min="13590" max="13590" width="11.88671875" style="1" bestFit="1" customWidth="1"/>
    <col min="13591" max="13591" width="1.109375" style="1" customWidth="1"/>
    <col min="13592" max="13592" width="2.33203125" style="1" customWidth="1"/>
    <col min="13593" max="13593" width="10" style="1" bestFit="1" customWidth="1"/>
    <col min="13594" max="13824" width="9.109375" style="1"/>
    <col min="13825" max="13825" width="3.109375" style="1" customWidth="1"/>
    <col min="13826" max="13826" width="11.33203125" style="1" customWidth="1"/>
    <col min="13827" max="13828" width="1.6640625" style="1" customWidth="1"/>
    <col min="13829" max="13829" width="2.109375" style="1" customWidth="1"/>
    <col min="13830" max="13830" width="12.88671875" style="1" customWidth="1"/>
    <col min="13831" max="13832" width="1.6640625" style="1" customWidth="1"/>
    <col min="13833" max="13833" width="10" style="1" customWidth="1"/>
    <col min="13834" max="13834" width="1.5546875" style="1" customWidth="1"/>
    <col min="13835" max="13835" width="2.44140625" style="1" customWidth="1"/>
    <col min="13836" max="13836" width="6.5546875" style="1" bestFit="1" customWidth="1"/>
    <col min="13837" max="13837" width="3.44140625" style="1" bestFit="1" customWidth="1"/>
    <col min="13838" max="13838" width="1.88671875" style="1" customWidth="1"/>
    <col min="13839" max="13839" width="1.5546875" style="1" customWidth="1"/>
    <col min="13840" max="13840" width="10.6640625" style="1" customWidth="1"/>
    <col min="13841" max="13842" width="0.88671875" style="1" customWidth="1"/>
    <col min="13843" max="13845" width="12.5546875" style="1" customWidth="1"/>
    <col min="13846" max="13846" width="11.88671875" style="1" bestFit="1" customWidth="1"/>
    <col min="13847" max="13847" width="1.109375" style="1" customWidth="1"/>
    <col min="13848" max="13848" width="2.33203125" style="1" customWidth="1"/>
    <col min="13849" max="13849" width="10" style="1" bestFit="1" customWidth="1"/>
    <col min="13850" max="14080" width="9.109375" style="1"/>
    <col min="14081" max="14081" width="3.109375" style="1" customWidth="1"/>
    <col min="14082" max="14082" width="11.33203125" style="1" customWidth="1"/>
    <col min="14083" max="14084" width="1.6640625" style="1" customWidth="1"/>
    <col min="14085" max="14085" width="2.109375" style="1" customWidth="1"/>
    <col min="14086" max="14086" width="12.88671875" style="1" customWidth="1"/>
    <col min="14087" max="14088" width="1.6640625" style="1" customWidth="1"/>
    <col min="14089" max="14089" width="10" style="1" customWidth="1"/>
    <col min="14090" max="14090" width="1.5546875" style="1" customWidth="1"/>
    <col min="14091" max="14091" width="2.44140625" style="1" customWidth="1"/>
    <col min="14092" max="14092" width="6.5546875" style="1" bestFit="1" customWidth="1"/>
    <col min="14093" max="14093" width="3.44140625" style="1" bestFit="1" customWidth="1"/>
    <col min="14094" max="14094" width="1.88671875" style="1" customWidth="1"/>
    <col min="14095" max="14095" width="1.5546875" style="1" customWidth="1"/>
    <col min="14096" max="14096" width="10.6640625" style="1" customWidth="1"/>
    <col min="14097" max="14098" width="0.88671875" style="1" customWidth="1"/>
    <col min="14099" max="14101" width="12.5546875" style="1" customWidth="1"/>
    <col min="14102" max="14102" width="11.88671875" style="1" bestFit="1" customWidth="1"/>
    <col min="14103" max="14103" width="1.109375" style="1" customWidth="1"/>
    <col min="14104" max="14104" width="2.33203125" style="1" customWidth="1"/>
    <col min="14105" max="14105" width="10" style="1" bestFit="1" customWidth="1"/>
    <col min="14106" max="14336" width="9.109375" style="1"/>
    <col min="14337" max="14337" width="3.109375" style="1" customWidth="1"/>
    <col min="14338" max="14338" width="11.33203125" style="1" customWidth="1"/>
    <col min="14339" max="14340" width="1.6640625" style="1" customWidth="1"/>
    <col min="14341" max="14341" width="2.109375" style="1" customWidth="1"/>
    <col min="14342" max="14342" width="12.88671875" style="1" customWidth="1"/>
    <col min="14343" max="14344" width="1.6640625" style="1" customWidth="1"/>
    <col min="14345" max="14345" width="10" style="1" customWidth="1"/>
    <col min="14346" max="14346" width="1.5546875" style="1" customWidth="1"/>
    <col min="14347" max="14347" width="2.44140625" style="1" customWidth="1"/>
    <col min="14348" max="14348" width="6.5546875" style="1" bestFit="1" customWidth="1"/>
    <col min="14349" max="14349" width="3.44140625" style="1" bestFit="1" customWidth="1"/>
    <col min="14350" max="14350" width="1.88671875" style="1" customWidth="1"/>
    <col min="14351" max="14351" width="1.5546875" style="1" customWidth="1"/>
    <col min="14352" max="14352" width="10.6640625" style="1" customWidth="1"/>
    <col min="14353" max="14354" width="0.88671875" style="1" customWidth="1"/>
    <col min="14355" max="14357" width="12.5546875" style="1" customWidth="1"/>
    <col min="14358" max="14358" width="11.88671875" style="1" bestFit="1" customWidth="1"/>
    <col min="14359" max="14359" width="1.109375" style="1" customWidth="1"/>
    <col min="14360" max="14360" width="2.33203125" style="1" customWidth="1"/>
    <col min="14361" max="14361" width="10" style="1" bestFit="1" customWidth="1"/>
    <col min="14362" max="14592" width="9.109375" style="1"/>
    <col min="14593" max="14593" width="3.109375" style="1" customWidth="1"/>
    <col min="14594" max="14594" width="11.33203125" style="1" customWidth="1"/>
    <col min="14595" max="14596" width="1.6640625" style="1" customWidth="1"/>
    <col min="14597" max="14597" width="2.109375" style="1" customWidth="1"/>
    <col min="14598" max="14598" width="12.88671875" style="1" customWidth="1"/>
    <col min="14599" max="14600" width="1.6640625" style="1" customWidth="1"/>
    <col min="14601" max="14601" width="10" style="1" customWidth="1"/>
    <col min="14602" max="14602" width="1.5546875" style="1" customWidth="1"/>
    <col min="14603" max="14603" width="2.44140625" style="1" customWidth="1"/>
    <col min="14604" max="14604" width="6.5546875" style="1" bestFit="1" customWidth="1"/>
    <col min="14605" max="14605" width="3.44140625" style="1" bestFit="1" customWidth="1"/>
    <col min="14606" max="14606" width="1.88671875" style="1" customWidth="1"/>
    <col min="14607" max="14607" width="1.5546875" style="1" customWidth="1"/>
    <col min="14608" max="14608" width="10.6640625" style="1" customWidth="1"/>
    <col min="14609" max="14610" width="0.88671875" style="1" customWidth="1"/>
    <col min="14611" max="14613" width="12.5546875" style="1" customWidth="1"/>
    <col min="14614" max="14614" width="11.88671875" style="1" bestFit="1" customWidth="1"/>
    <col min="14615" max="14615" width="1.109375" style="1" customWidth="1"/>
    <col min="14616" max="14616" width="2.33203125" style="1" customWidth="1"/>
    <col min="14617" max="14617" width="10" style="1" bestFit="1" customWidth="1"/>
    <col min="14618" max="14848" width="9.109375" style="1"/>
    <col min="14849" max="14849" width="3.109375" style="1" customWidth="1"/>
    <col min="14850" max="14850" width="11.33203125" style="1" customWidth="1"/>
    <col min="14851" max="14852" width="1.6640625" style="1" customWidth="1"/>
    <col min="14853" max="14853" width="2.109375" style="1" customWidth="1"/>
    <col min="14854" max="14854" width="12.88671875" style="1" customWidth="1"/>
    <col min="14855" max="14856" width="1.6640625" style="1" customWidth="1"/>
    <col min="14857" max="14857" width="10" style="1" customWidth="1"/>
    <col min="14858" max="14858" width="1.5546875" style="1" customWidth="1"/>
    <col min="14859" max="14859" width="2.44140625" style="1" customWidth="1"/>
    <col min="14860" max="14860" width="6.5546875" style="1" bestFit="1" customWidth="1"/>
    <col min="14861" max="14861" width="3.44140625" style="1" bestFit="1" customWidth="1"/>
    <col min="14862" max="14862" width="1.88671875" style="1" customWidth="1"/>
    <col min="14863" max="14863" width="1.5546875" style="1" customWidth="1"/>
    <col min="14864" max="14864" width="10.6640625" style="1" customWidth="1"/>
    <col min="14865" max="14866" width="0.88671875" style="1" customWidth="1"/>
    <col min="14867" max="14869" width="12.5546875" style="1" customWidth="1"/>
    <col min="14870" max="14870" width="11.88671875" style="1" bestFit="1" customWidth="1"/>
    <col min="14871" max="14871" width="1.109375" style="1" customWidth="1"/>
    <col min="14872" max="14872" width="2.33203125" style="1" customWidth="1"/>
    <col min="14873" max="14873" width="10" style="1" bestFit="1" customWidth="1"/>
    <col min="14874" max="15104" width="9.109375" style="1"/>
    <col min="15105" max="15105" width="3.109375" style="1" customWidth="1"/>
    <col min="15106" max="15106" width="11.33203125" style="1" customWidth="1"/>
    <col min="15107" max="15108" width="1.6640625" style="1" customWidth="1"/>
    <col min="15109" max="15109" width="2.109375" style="1" customWidth="1"/>
    <col min="15110" max="15110" width="12.88671875" style="1" customWidth="1"/>
    <col min="15111" max="15112" width="1.6640625" style="1" customWidth="1"/>
    <col min="15113" max="15113" width="10" style="1" customWidth="1"/>
    <col min="15114" max="15114" width="1.5546875" style="1" customWidth="1"/>
    <col min="15115" max="15115" width="2.44140625" style="1" customWidth="1"/>
    <col min="15116" max="15116" width="6.5546875" style="1" bestFit="1" customWidth="1"/>
    <col min="15117" max="15117" width="3.44140625" style="1" bestFit="1" customWidth="1"/>
    <col min="15118" max="15118" width="1.88671875" style="1" customWidth="1"/>
    <col min="15119" max="15119" width="1.5546875" style="1" customWidth="1"/>
    <col min="15120" max="15120" width="10.6640625" style="1" customWidth="1"/>
    <col min="15121" max="15122" width="0.88671875" style="1" customWidth="1"/>
    <col min="15123" max="15125" width="12.5546875" style="1" customWidth="1"/>
    <col min="15126" max="15126" width="11.88671875" style="1" bestFit="1" customWidth="1"/>
    <col min="15127" max="15127" width="1.109375" style="1" customWidth="1"/>
    <col min="15128" max="15128" width="2.33203125" style="1" customWidth="1"/>
    <col min="15129" max="15129" width="10" style="1" bestFit="1" customWidth="1"/>
    <col min="15130" max="15360" width="9.109375" style="1"/>
    <col min="15361" max="15361" width="3.109375" style="1" customWidth="1"/>
    <col min="15362" max="15362" width="11.33203125" style="1" customWidth="1"/>
    <col min="15363" max="15364" width="1.6640625" style="1" customWidth="1"/>
    <col min="15365" max="15365" width="2.109375" style="1" customWidth="1"/>
    <col min="15366" max="15366" width="12.88671875" style="1" customWidth="1"/>
    <col min="15367" max="15368" width="1.6640625" style="1" customWidth="1"/>
    <col min="15369" max="15369" width="10" style="1" customWidth="1"/>
    <col min="15370" max="15370" width="1.5546875" style="1" customWidth="1"/>
    <col min="15371" max="15371" width="2.44140625" style="1" customWidth="1"/>
    <col min="15372" max="15372" width="6.5546875" style="1" bestFit="1" customWidth="1"/>
    <col min="15373" max="15373" width="3.44140625" style="1" bestFit="1" customWidth="1"/>
    <col min="15374" max="15374" width="1.88671875" style="1" customWidth="1"/>
    <col min="15375" max="15375" width="1.5546875" style="1" customWidth="1"/>
    <col min="15376" max="15376" width="10.6640625" style="1" customWidth="1"/>
    <col min="15377" max="15378" width="0.88671875" style="1" customWidth="1"/>
    <col min="15379" max="15381" width="12.5546875" style="1" customWidth="1"/>
    <col min="15382" max="15382" width="11.88671875" style="1" bestFit="1" customWidth="1"/>
    <col min="15383" max="15383" width="1.109375" style="1" customWidth="1"/>
    <col min="15384" max="15384" width="2.33203125" style="1" customWidth="1"/>
    <col min="15385" max="15385" width="10" style="1" bestFit="1" customWidth="1"/>
    <col min="15386" max="15616" width="9.109375" style="1"/>
    <col min="15617" max="15617" width="3.109375" style="1" customWidth="1"/>
    <col min="15618" max="15618" width="11.33203125" style="1" customWidth="1"/>
    <col min="15619" max="15620" width="1.6640625" style="1" customWidth="1"/>
    <col min="15621" max="15621" width="2.109375" style="1" customWidth="1"/>
    <col min="15622" max="15622" width="12.88671875" style="1" customWidth="1"/>
    <col min="15623" max="15624" width="1.6640625" style="1" customWidth="1"/>
    <col min="15625" max="15625" width="10" style="1" customWidth="1"/>
    <col min="15626" max="15626" width="1.5546875" style="1" customWidth="1"/>
    <col min="15627" max="15627" width="2.44140625" style="1" customWidth="1"/>
    <col min="15628" max="15628" width="6.5546875" style="1" bestFit="1" customWidth="1"/>
    <col min="15629" max="15629" width="3.44140625" style="1" bestFit="1" customWidth="1"/>
    <col min="15630" max="15630" width="1.88671875" style="1" customWidth="1"/>
    <col min="15631" max="15631" width="1.5546875" style="1" customWidth="1"/>
    <col min="15632" max="15632" width="10.6640625" style="1" customWidth="1"/>
    <col min="15633" max="15634" width="0.88671875" style="1" customWidth="1"/>
    <col min="15635" max="15637" width="12.5546875" style="1" customWidth="1"/>
    <col min="15638" max="15638" width="11.88671875" style="1" bestFit="1" customWidth="1"/>
    <col min="15639" max="15639" width="1.109375" style="1" customWidth="1"/>
    <col min="15640" max="15640" width="2.33203125" style="1" customWidth="1"/>
    <col min="15641" max="15641" width="10" style="1" bestFit="1" customWidth="1"/>
    <col min="15642" max="15872" width="9.109375" style="1"/>
    <col min="15873" max="15873" width="3.109375" style="1" customWidth="1"/>
    <col min="15874" max="15874" width="11.33203125" style="1" customWidth="1"/>
    <col min="15875" max="15876" width="1.6640625" style="1" customWidth="1"/>
    <col min="15877" max="15877" width="2.109375" style="1" customWidth="1"/>
    <col min="15878" max="15878" width="12.88671875" style="1" customWidth="1"/>
    <col min="15879" max="15880" width="1.6640625" style="1" customWidth="1"/>
    <col min="15881" max="15881" width="10" style="1" customWidth="1"/>
    <col min="15882" max="15882" width="1.5546875" style="1" customWidth="1"/>
    <col min="15883" max="15883" width="2.44140625" style="1" customWidth="1"/>
    <col min="15884" max="15884" width="6.5546875" style="1" bestFit="1" customWidth="1"/>
    <col min="15885" max="15885" width="3.44140625" style="1" bestFit="1" customWidth="1"/>
    <col min="15886" max="15886" width="1.88671875" style="1" customWidth="1"/>
    <col min="15887" max="15887" width="1.5546875" style="1" customWidth="1"/>
    <col min="15888" max="15888" width="10.6640625" style="1" customWidth="1"/>
    <col min="15889" max="15890" width="0.88671875" style="1" customWidth="1"/>
    <col min="15891" max="15893" width="12.5546875" style="1" customWidth="1"/>
    <col min="15894" max="15894" width="11.88671875" style="1" bestFit="1" customWidth="1"/>
    <col min="15895" max="15895" width="1.109375" style="1" customWidth="1"/>
    <col min="15896" max="15896" width="2.33203125" style="1" customWidth="1"/>
    <col min="15897" max="15897" width="10" style="1" bestFit="1" customWidth="1"/>
    <col min="15898" max="16128" width="9.109375" style="1"/>
    <col min="16129" max="16129" width="3.109375" style="1" customWidth="1"/>
    <col min="16130" max="16130" width="11.33203125" style="1" customWidth="1"/>
    <col min="16131" max="16132" width="1.6640625" style="1" customWidth="1"/>
    <col min="16133" max="16133" width="2.109375" style="1" customWidth="1"/>
    <col min="16134" max="16134" width="12.88671875" style="1" customWidth="1"/>
    <col min="16135" max="16136" width="1.6640625" style="1" customWidth="1"/>
    <col min="16137" max="16137" width="10" style="1" customWidth="1"/>
    <col min="16138" max="16138" width="1.5546875" style="1" customWidth="1"/>
    <col min="16139" max="16139" width="2.44140625" style="1" customWidth="1"/>
    <col min="16140" max="16140" width="6.5546875" style="1" bestFit="1" customWidth="1"/>
    <col min="16141" max="16141" width="3.44140625" style="1" bestFit="1" customWidth="1"/>
    <col min="16142" max="16142" width="1.88671875" style="1" customWidth="1"/>
    <col min="16143" max="16143" width="1.5546875" style="1" customWidth="1"/>
    <col min="16144" max="16144" width="10.6640625" style="1" customWidth="1"/>
    <col min="16145" max="16146" width="0.88671875" style="1" customWidth="1"/>
    <col min="16147" max="16149" width="12.5546875" style="1" customWidth="1"/>
    <col min="16150" max="16150" width="11.88671875" style="1" bestFit="1" customWidth="1"/>
    <col min="16151" max="16151" width="1.109375" style="1" customWidth="1"/>
    <col min="16152" max="16152" width="2.33203125" style="1" customWidth="1"/>
    <col min="16153" max="16153" width="10" style="1" bestFit="1" customWidth="1"/>
    <col min="16154" max="16384" width="9.109375" style="1"/>
  </cols>
  <sheetData>
    <row r="1" spans="2:23" ht="6" customHeight="1" x14ac:dyDescent="0.2"/>
    <row r="2" spans="2:23" ht="6" customHeight="1" x14ac:dyDescent="0.2">
      <c r="B2" s="3"/>
      <c r="C2" s="4"/>
      <c r="D2" s="4"/>
      <c r="E2" s="4"/>
      <c r="F2" s="4"/>
      <c r="G2" s="4"/>
      <c r="H2" s="4"/>
      <c r="I2" s="4"/>
      <c r="J2" s="4"/>
      <c r="K2" s="4"/>
      <c r="L2" s="5"/>
      <c r="M2" s="5"/>
      <c r="N2" s="6"/>
      <c r="P2" s="3"/>
      <c r="Q2" s="4"/>
      <c r="R2" s="4"/>
      <c r="S2" s="4"/>
      <c r="T2" s="4"/>
      <c r="U2" s="4"/>
      <c r="V2" s="4"/>
      <c r="W2" s="6"/>
    </row>
    <row r="3" spans="2:23" x14ac:dyDescent="0.2">
      <c r="B3" s="7"/>
      <c r="N3" s="8"/>
      <c r="P3" s="7"/>
      <c r="W3" s="8"/>
    </row>
    <row r="4" spans="2:23" ht="12" x14ac:dyDescent="0.25">
      <c r="B4" s="7"/>
      <c r="N4" s="8"/>
      <c r="P4" s="7"/>
      <c r="S4" s="9" t="s">
        <v>0</v>
      </c>
      <c r="T4" s="9"/>
      <c r="W4" s="8"/>
    </row>
    <row r="5" spans="2:23" x14ac:dyDescent="0.2">
      <c r="B5" s="7"/>
      <c r="N5" s="8"/>
      <c r="P5" s="10"/>
      <c r="Q5" s="11"/>
      <c r="R5" s="11"/>
      <c r="S5" s="11"/>
      <c r="T5" s="11"/>
      <c r="U5" s="11"/>
      <c r="V5" s="11"/>
      <c r="W5" s="12"/>
    </row>
    <row r="6" spans="2:23" ht="15.6" x14ac:dyDescent="0.3">
      <c r="B6" s="13" t="s">
        <v>1</v>
      </c>
      <c r="N6" s="8"/>
      <c r="P6" s="3"/>
      <c r="Q6" s="4"/>
      <c r="R6" s="4"/>
      <c r="S6" s="4"/>
      <c r="T6" s="4"/>
      <c r="U6" s="4"/>
      <c r="V6" s="4"/>
      <c r="W6" s="6"/>
    </row>
    <row r="7" spans="2:23" x14ac:dyDescent="0.2">
      <c r="B7" s="7"/>
      <c r="N7" s="8"/>
      <c r="P7" s="7" t="s">
        <v>2</v>
      </c>
      <c r="U7" s="54" t="s">
        <v>43</v>
      </c>
      <c r="W7" s="8"/>
    </row>
    <row r="8" spans="2:23" x14ac:dyDescent="0.2">
      <c r="B8" s="7" t="s">
        <v>3</v>
      </c>
      <c r="N8" s="8"/>
      <c r="P8" s="10"/>
      <c r="Q8" s="11"/>
      <c r="R8" s="11"/>
      <c r="S8" s="11"/>
      <c r="T8" s="11"/>
      <c r="U8" s="11"/>
      <c r="V8" s="11"/>
      <c r="W8" s="12"/>
    </row>
    <row r="9" spans="2:23" x14ac:dyDescent="0.2">
      <c r="B9" s="7" t="s">
        <v>4</v>
      </c>
      <c r="N9" s="8"/>
      <c r="P9" s="3"/>
      <c r="Q9" s="4"/>
      <c r="R9" s="4"/>
      <c r="S9" s="4"/>
      <c r="T9" s="4"/>
      <c r="U9" s="4"/>
      <c r="V9" s="4"/>
      <c r="W9" s="6"/>
    </row>
    <row r="10" spans="2:23" x14ac:dyDescent="0.2">
      <c r="B10" s="7" t="s">
        <v>5</v>
      </c>
      <c r="N10" s="8"/>
      <c r="P10" s="7" t="s">
        <v>6</v>
      </c>
      <c r="U10" s="1">
        <v>1</v>
      </c>
      <c r="W10" s="8"/>
    </row>
    <row r="11" spans="2:23" x14ac:dyDescent="0.2">
      <c r="B11" s="14" t="s">
        <v>7</v>
      </c>
      <c r="H11" s="1" t="s">
        <v>8</v>
      </c>
      <c r="N11" s="8"/>
      <c r="P11" s="10"/>
      <c r="Q11" s="11"/>
      <c r="R11" s="11"/>
      <c r="S11" s="11"/>
      <c r="T11" s="11"/>
      <c r="U11" s="11"/>
      <c r="V11" s="11"/>
      <c r="W11" s="12"/>
    </row>
    <row r="12" spans="2:23" x14ac:dyDescent="0.2">
      <c r="B12" s="15" t="s">
        <v>9</v>
      </c>
      <c r="H12" s="1" t="s">
        <v>10</v>
      </c>
      <c r="N12" s="8"/>
      <c r="P12" s="3"/>
      <c r="Q12" s="4"/>
      <c r="R12" s="4"/>
      <c r="S12" s="4"/>
      <c r="T12" s="4"/>
      <c r="U12" s="4"/>
      <c r="V12" s="4"/>
      <c r="W12" s="6"/>
    </row>
    <row r="13" spans="2:23" x14ac:dyDescent="0.2">
      <c r="B13" s="7"/>
      <c r="H13" s="1" t="s">
        <v>11</v>
      </c>
      <c r="N13" s="8"/>
      <c r="P13" s="7" t="s">
        <v>12</v>
      </c>
      <c r="U13" s="16" t="s">
        <v>13</v>
      </c>
      <c r="W13" s="8"/>
    </row>
    <row r="14" spans="2:23" x14ac:dyDescent="0.2">
      <c r="B14" s="7"/>
      <c r="N14" s="8"/>
      <c r="P14" s="7"/>
      <c r="U14" s="16"/>
      <c r="W14" s="8"/>
    </row>
    <row r="15" spans="2:23" x14ac:dyDescent="0.2">
      <c r="B15" s="7"/>
      <c r="L15" s="1"/>
      <c r="M15" s="1"/>
      <c r="N15" s="8"/>
      <c r="P15" s="7" t="s">
        <v>14</v>
      </c>
      <c r="U15" s="53" t="s">
        <v>43</v>
      </c>
      <c r="W15" s="8"/>
    </row>
    <row r="16" spans="2:23" x14ac:dyDescent="0.2">
      <c r="B16" s="7"/>
      <c r="L16" s="1"/>
      <c r="M16" s="1"/>
      <c r="N16" s="8"/>
      <c r="P16" s="7"/>
      <c r="W16" s="8"/>
    </row>
    <row r="17" spans="2:23" x14ac:dyDescent="0.2">
      <c r="B17" s="7"/>
      <c r="L17" s="1"/>
      <c r="M17" s="1"/>
      <c r="N17" s="8"/>
      <c r="P17" s="7" t="s">
        <v>45</v>
      </c>
      <c r="U17" s="52" t="s">
        <v>46</v>
      </c>
      <c r="W17" s="8"/>
    </row>
    <row r="18" spans="2:23" x14ac:dyDescent="0.2">
      <c r="B18" s="7"/>
      <c r="N18" s="8"/>
      <c r="P18" s="10"/>
      <c r="Q18" s="11"/>
      <c r="R18" s="11"/>
      <c r="S18" s="11"/>
      <c r="T18" s="11"/>
      <c r="U18" s="11"/>
      <c r="V18" s="11"/>
      <c r="W18" s="12"/>
    </row>
    <row r="19" spans="2:23" ht="6.75" customHeight="1" x14ac:dyDescent="0.2"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7"/>
      <c r="M19" s="17"/>
      <c r="N19" s="12"/>
    </row>
    <row r="20" spans="2:23" ht="6" customHeight="1" x14ac:dyDescent="0.2"/>
    <row r="21" spans="2:23" x14ac:dyDescent="0.2">
      <c r="B21" s="3"/>
      <c r="C21" s="4"/>
      <c r="D21" s="4"/>
      <c r="E21" s="4"/>
      <c r="F21" s="4"/>
      <c r="G21" s="4"/>
      <c r="H21" s="4"/>
      <c r="I21" s="4"/>
      <c r="J21" s="4"/>
      <c r="K21" s="4"/>
      <c r="L21" s="5"/>
      <c r="M21" s="5"/>
      <c r="N21" s="6"/>
      <c r="P21" s="3"/>
      <c r="Q21" s="4"/>
      <c r="R21" s="4"/>
      <c r="S21" s="4"/>
      <c r="T21" s="4"/>
      <c r="U21" s="4"/>
      <c r="V21" s="4"/>
      <c r="W21" s="6"/>
    </row>
    <row r="22" spans="2:23" x14ac:dyDescent="0.2">
      <c r="B22" s="7"/>
      <c r="N22" s="8"/>
      <c r="P22" s="18" t="s">
        <v>15</v>
      </c>
      <c r="W22" s="8"/>
    </row>
    <row r="23" spans="2:23" ht="14.4" x14ac:dyDescent="0.3">
      <c r="B23" s="7"/>
      <c r="C23" s="51" t="s">
        <v>41</v>
      </c>
      <c r="D23" s="52"/>
      <c r="E23" s="52"/>
      <c r="F23" s="52"/>
      <c r="G23" s="52"/>
      <c r="H23" s="52"/>
      <c r="I23" s="52"/>
      <c r="N23" s="8"/>
      <c r="P23" s="19"/>
      <c r="S23" s="20" t="s">
        <v>16</v>
      </c>
      <c r="T23" s="20"/>
      <c r="W23" s="8"/>
    </row>
    <row r="24" spans="2:23" x14ac:dyDescent="0.2">
      <c r="B24" s="7"/>
      <c r="C24" s="52" t="s">
        <v>42</v>
      </c>
      <c r="D24" s="52"/>
      <c r="E24" s="52"/>
      <c r="F24" s="52"/>
      <c r="G24" s="52"/>
      <c r="H24" s="52"/>
      <c r="I24" s="52"/>
      <c r="N24" s="8"/>
      <c r="P24" s="7"/>
      <c r="S24" s="1" t="s">
        <v>3</v>
      </c>
      <c r="W24" s="8"/>
    </row>
    <row r="25" spans="2:23" ht="12" x14ac:dyDescent="0.25">
      <c r="B25" s="7"/>
      <c r="C25" s="20"/>
      <c r="N25" s="8"/>
      <c r="P25" s="7"/>
      <c r="S25" s="1" t="s">
        <v>4</v>
      </c>
      <c r="W25" s="8"/>
    </row>
    <row r="26" spans="2:23" x14ac:dyDescent="0.2">
      <c r="B26" s="7"/>
      <c r="N26" s="8"/>
      <c r="P26" s="7"/>
      <c r="Q26" s="21"/>
      <c r="S26" s="1" t="s">
        <v>5</v>
      </c>
      <c r="W26" s="8"/>
    </row>
    <row r="27" spans="2:23" x14ac:dyDescent="0.2">
      <c r="B27" s="7"/>
      <c r="C27" s="21"/>
      <c r="N27" s="8"/>
      <c r="P27" s="7"/>
      <c r="S27" s="22" t="s">
        <v>7</v>
      </c>
      <c r="T27" s="22"/>
      <c r="W27" s="8"/>
    </row>
    <row r="28" spans="2:23" x14ac:dyDescent="0.2">
      <c r="B28" s="7"/>
      <c r="C28" s="21"/>
      <c r="N28" s="8"/>
      <c r="P28" s="7"/>
      <c r="S28" s="21" t="s">
        <v>9</v>
      </c>
      <c r="T28" s="21"/>
      <c r="W28" s="8"/>
    </row>
    <row r="29" spans="2:23" x14ac:dyDescent="0.2">
      <c r="B29" s="7"/>
      <c r="C29" s="21"/>
      <c r="N29" s="8"/>
      <c r="P29" s="7"/>
      <c r="W29" s="8"/>
    </row>
    <row r="30" spans="2:23" x14ac:dyDescent="0.2">
      <c r="B30" s="7"/>
      <c r="N30" s="8"/>
      <c r="P30" s="7"/>
      <c r="W30" s="8"/>
    </row>
    <row r="31" spans="2:23" ht="6.75" customHeight="1" x14ac:dyDescent="0.2">
      <c r="B31" s="10"/>
      <c r="C31" s="11"/>
      <c r="D31" s="11"/>
      <c r="E31" s="11"/>
      <c r="F31" s="11"/>
      <c r="G31" s="11"/>
      <c r="H31" s="11"/>
      <c r="I31" s="11"/>
      <c r="J31" s="11"/>
      <c r="K31" s="11"/>
      <c r="L31" s="17"/>
      <c r="M31" s="17"/>
      <c r="N31" s="12"/>
      <c r="P31" s="10"/>
      <c r="Q31" s="11"/>
      <c r="R31" s="11"/>
      <c r="S31" s="11"/>
      <c r="T31" s="11"/>
      <c r="U31" s="11"/>
      <c r="V31" s="11"/>
      <c r="W31" s="12"/>
    </row>
    <row r="32" spans="2:23" ht="6" customHeight="1" x14ac:dyDescent="0.2"/>
    <row r="33" spans="2:25" ht="12.75" customHeight="1" x14ac:dyDescent="0.2">
      <c r="B33" s="23" t="s">
        <v>17</v>
      </c>
      <c r="C33" s="24"/>
      <c r="D33" s="24"/>
      <c r="E33" s="25"/>
      <c r="F33" s="25"/>
      <c r="G33" s="40" t="s">
        <v>18</v>
      </c>
      <c r="H33" s="40"/>
      <c r="I33" s="40"/>
      <c r="J33" s="25"/>
      <c r="K33" s="25"/>
      <c r="L33" s="26"/>
      <c r="M33" s="26"/>
      <c r="N33" s="24"/>
      <c r="O33" s="24"/>
      <c r="P33" s="24"/>
      <c r="Q33" s="24"/>
      <c r="R33" s="24"/>
      <c r="S33" s="24"/>
      <c r="T33" s="24"/>
      <c r="U33" s="25"/>
      <c r="V33" s="25"/>
      <c r="W33" s="27"/>
    </row>
    <row r="34" spans="2:25" ht="21" customHeight="1" x14ac:dyDescent="0.2">
      <c r="B34" s="3" t="s">
        <v>19</v>
      </c>
      <c r="C34" s="4"/>
      <c r="D34" s="4"/>
      <c r="E34" s="28"/>
      <c r="F34" s="28"/>
      <c r="G34" s="41" t="s">
        <v>20</v>
      </c>
      <c r="H34" s="41"/>
      <c r="I34" s="41"/>
      <c r="J34" s="28"/>
      <c r="K34" s="28"/>
      <c r="L34" s="29"/>
      <c r="M34" s="29"/>
      <c r="N34" s="4"/>
      <c r="O34" s="4"/>
      <c r="P34" s="4"/>
      <c r="Q34" s="4"/>
      <c r="R34" s="4"/>
      <c r="S34" s="4"/>
      <c r="T34" s="4"/>
      <c r="U34" s="28"/>
      <c r="V34" s="28"/>
      <c r="W34" s="6"/>
    </row>
    <row r="35" spans="2:25" ht="21" customHeight="1" x14ac:dyDescent="0.2">
      <c r="B35" s="23" t="s">
        <v>21</v>
      </c>
      <c r="C35" s="24"/>
      <c r="D35" s="24"/>
      <c r="E35" s="24" t="s">
        <v>22</v>
      </c>
      <c r="F35" s="25"/>
      <c r="G35" s="24"/>
      <c r="H35" s="24"/>
      <c r="I35" s="24"/>
      <c r="J35" s="25"/>
      <c r="K35" s="25"/>
      <c r="L35" s="26" t="s">
        <v>23</v>
      </c>
      <c r="M35" s="26"/>
      <c r="N35" s="24"/>
      <c r="O35" s="24"/>
      <c r="P35" s="24" t="s">
        <v>24</v>
      </c>
      <c r="Q35" s="24"/>
      <c r="R35" s="24"/>
      <c r="S35" s="24" t="s">
        <v>25</v>
      </c>
      <c r="T35" s="24" t="s">
        <v>26</v>
      </c>
      <c r="U35" s="25" t="s">
        <v>27</v>
      </c>
      <c r="V35" s="25" t="s">
        <v>28</v>
      </c>
      <c r="W35" s="27"/>
    </row>
    <row r="36" spans="2:25" ht="6" customHeight="1" x14ac:dyDescent="0.2"/>
    <row r="37" spans="2:25" x14ac:dyDescent="0.2">
      <c r="B37" s="55" t="s">
        <v>33</v>
      </c>
      <c r="C37" s="56"/>
      <c r="D37" s="56"/>
      <c r="E37" s="56" t="s">
        <v>34</v>
      </c>
      <c r="F37" s="56"/>
      <c r="G37" s="57"/>
      <c r="H37" s="56"/>
      <c r="I37" s="56"/>
      <c r="J37" s="57"/>
      <c r="K37" s="57"/>
      <c r="L37" s="58">
        <v>1</v>
      </c>
      <c r="M37" s="58"/>
      <c r="N37" s="59"/>
      <c r="O37" s="59"/>
      <c r="P37" s="60">
        <v>125100</v>
      </c>
      <c r="Q37" s="56"/>
      <c r="R37" s="56"/>
      <c r="S37" s="61">
        <f>(P37*L37)</f>
        <v>125100</v>
      </c>
      <c r="T37" s="61">
        <v>103958.1</v>
      </c>
      <c r="U37" s="62">
        <f>T37*15%</f>
        <v>15593.715</v>
      </c>
      <c r="V37" s="59">
        <f>(T37+U37)</f>
        <v>119551.815</v>
      </c>
      <c r="W37" s="6"/>
    </row>
    <row r="38" spans="2:25" x14ac:dyDescent="0.2">
      <c r="B38" s="63">
        <v>4475315</v>
      </c>
      <c r="C38" s="52"/>
      <c r="D38" s="52"/>
      <c r="E38" s="64" t="s">
        <v>35</v>
      </c>
      <c r="F38" s="52"/>
      <c r="G38" s="52"/>
      <c r="H38" s="52"/>
      <c r="I38" s="52"/>
      <c r="J38" s="52"/>
      <c r="K38" s="52"/>
      <c r="L38" s="65">
        <v>1</v>
      </c>
      <c r="M38" s="65"/>
      <c r="N38" s="52"/>
      <c r="O38" s="52"/>
      <c r="P38" s="60">
        <v>14078</v>
      </c>
      <c r="Q38" s="52"/>
      <c r="R38" s="52"/>
      <c r="S38" s="61">
        <f t="shared" ref="S38:S40" si="0">(P38*L38)</f>
        <v>14078</v>
      </c>
      <c r="T38" s="61">
        <v>11698.82</v>
      </c>
      <c r="U38" s="62">
        <f t="shared" ref="U38:U40" si="1">T38*15%</f>
        <v>1754.8229999999999</v>
      </c>
      <c r="V38" s="59">
        <f t="shared" ref="V38:V40" si="2">(T38+U38)</f>
        <v>13453.643</v>
      </c>
      <c r="W38" s="8"/>
    </row>
    <row r="39" spans="2:25" x14ac:dyDescent="0.2">
      <c r="B39" s="63">
        <v>4482970</v>
      </c>
      <c r="C39" s="52"/>
      <c r="D39" s="52"/>
      <c r="E39" s="52" t="s">
        <v>36</v>
      </c>
      <c r="F39" s="52"/>
      <c r="G39" s="52"/>
      <c r="H39" s="52"/>
      <c r="I39" s="52"/>
      <c r="J39" s="52"/>
      <c r="K39" s="52"/>
      <c r="L39" s="65">
        <v>1</v>
      </c>
      <c r="M39" s="65"/>
      <c r="N39" s="52"/>
      <c r="O39" s="52"/>
      <c r="P39" s="60">
        <v>19640</v>
      </c>
      <c r="Q39" s="52"/>
      <c r="R39" s="52"/>
      <c r="S39" s="61">
        <f t="shared" si="0"/>
        <v>19640</v>
      </c>
      <c r="T39" s="61">
        <v>16320.84</v>
      </c>
      <c r="U39" s="62">
        <f t="shared" si="1"/>
        <v>2448.1259999999997</v>
      </c>
      <c r="V39" s="59">
        <f t="shared" si="2"/>
        <v>18768.966</v>
      </c>
      <c r="W39" s="8"/>
    </row>
    <row r="40" spans="2:25" x14ac:dyDescent="0.2">
      <c r="B40" s="50" t="s">
        <v>37</v>
      </c>
      <c r="C40" s="52"/>
      <c r="D40" s="52"/>
      <c r="E40" s="52" t="s">
        <v>38</v>
      </c>
      <c r="F40" s="52"/>
      <c r="G40" s="52"/>
      <c r="H40" s="52"/>
      <c r="I40" s="64"/>
      <c r="J40" s="64"/>
      <c r="K40" s="64"/>
      <c r="L40" s="65">
        <v>1</v>
      </c>
      <c r="M40" s="65"/>
      <c r="N40" s="66"/>
      <c r="O40" s="66"/>
      <c r="P40" s="60">
        <v>37160</v>
      </c>
      <c r="Q40" s="52"/>
      <c r="R40" s="52"/>
      <c r="S40" s="61">
        <f t="shared" si="0"/>
        <v>37160</v>
      </c>
      <c r="T40" s="61">
        <v>30879.96</v>
      </c>
      <c r="U40" s="62">
        <f t="shared" si="1"/>
        <v>4631.9939999999997</v>
      </c>
      <c r="V40" s="59">
        <f t="shared" si="2"/>
        <v>35511.953999999998</v>
      </c>
      <c r="W40" s="8"/>
    </row>
    <row r="41" spans="2:25" x14ac:dyDescent="0.2">
      <c r="B41" s="7"/>
      <c r="I41" s="31"/>
      <c r="J41" s="31"/>
      <c r="K41" s="31"/>
      <c r="N41" s="30"/>
      <c r="O41" s="30"/>
      <c r="P41" s="30"/>
      <c r="W41" s="8"/>
    </row>
    <row r="42" spans="2:25" x14ac:dyDescent="0.2">
      <c r="B42" s="10"/>
      <c r="C42" s="11"/>
      <c r="D42" s="11"/>
      <c r="E42" s="67" t="s">
        <v>47</v>
      </c>
      <c r="F42" s="67"/>
      <c r="G42" s="67"/>
      <c r="H42" s="67"/>
      <c r="I42" s="68"/>
      <c r="J42" s="68"/>
      <c r="K42" s="32"/>
      <c r="L42" s="17"/>
      <c r="M42" s="17"/>
      <c r="N42" s="33"/>
      <c r="O42" s="33"/>
      <c r="P42" s="33"/>
      <c r="Q42" s="11"/>
      <c r="R42" s="11"/>
      <c r="S42" s="11"/>
      <c r="T42" s="11"/>
      <c r="U42" s="11"/>
      <c r="V42" s="33"/>
      <c r="W42" s="12"/>
    </row>
    <row r="43" spans="2:25" x14ac:dyDescent="0.2">
      <c r="I43" s="31"/>
      <c r="J43" s="31"/>
      <c r="K43" s="31"/>
      <c r="N43" s="30"/>
      <c r="O43" s="30"/>
      <c r="P43" s="30"/>
      <c r="V43" s="30"/>
    </row>
    <row r="44" spans="2:25" ht="8.25" customHeight="1" x14ac:dyDescent="0.2">
      <c r="B44" s="3"/>
      <c r="C44" s="4"/>
      <c r="D44" s="4"/>
      <c r="E44" s="4"/>
      <c r="F44" s="4"/>
      <c r="G44" s="4"/>
      <c r="H44" s="4"/>
      <c r="I44" s="4"/>
      <c r="J44" s="4"/>
      <c r="K44" s="4"/>
      <c r="L44" s="5"/>
      <c r="M44" s="5"/>
      <c r="N44" s="4"/>
      <c r="O44" s="4"/>
      <c r="P44" s="6"/>
      <c r="R44" s="3"/>
      <c r="S44" s="42" t="s">
        <v>29</v>
      </c>
      <c r="T44" s="42"/>
      <c r="U44" s="42"/>
      <c r="V44" s="69">
        <f>SUM(T37:T42)</f>
        <v>162857.72</v>
      </c>
      <c r="W44" s="6"/>
    </row>
    <row r="45" spans="2:25" x14ac:dyDescent="0.2">
      <c r="B45" s="7"/>
      <c r="P45" s="8"/>
      <c r="R45" s="10"/>
      <c r="S45" s="43"/>
      <c r="T45" s="43"/>
      <c r="U45" s="43"/>
      <c r="V45" s="70"/>
      <c r="W45" s="12"/>
      <c r="Y45" s="52" t="s">
        <v>48</v>
      </c>
    </row>
    <row r="46" spans="2:25" ht="12" x14ac:dyDescent="0.25">
      <c r="B46" s="34" t="s">
        <v>40</v>
      </c>
      <c r="N46" s="44"/>
      <c r="O46" s="44"/>
      <c r="P46" s="45"/>
      <c r="R46" s="3"/>
      <c r="S46" s="42" t="s">
        <v>39</v>
      </c>
      <c r="T46" s="42"/>
      <c r="U46" s="42"/>
      <c r="V46" s="69">
        <v>33120.28</v>
      </c>
      <c r="W46" s="6"/>
    </row>
    <row r="47" spans="2:25" ht="12" x14ac:dyDescent="0.25">
      <c r="B47" s="50" t="s">
        <v>44</v>
      </c>
      <c r="C47" s="4"/>
      <c r="I47" s="20"/>
      <c r="N47" s="46"/>
      <c r="O47" s="44"/>
      <c r="P47" s="45"/>
      <c r="R47" s="10"/>
      <c r="S47" s="43"/>
      <c r="T47" s="43"/>
      <c r="U47" s="43"/>
      <c r="V47" s="70"/>
      <c r="W47" s="12"/>
    </row>
    <row r="48" spans="2:25" x14ac:dyDescent="0.2">
      <c r="B48" s="36"/>
      <c r="I48" s="39"/>
      <c r="P48" s="8"/>
      <c r="R48" s="3"/>
      <c r="S48" s="42" t="s">
        <v>30</v>
      </c>
      <c r="T48" s="42"/>
      <c r="U48" s="42"/>
      <c r="V48" s="69">
        <f>V44</f>
        <v>162857.72</v>
      </c>
      <c r="W48" s="6"/>
    </row>
    <row r="49" spans="2:23" ht="12.6" customHeight="1" x14ac:dyDescent="0.2">
      <c r="B49" s="7"/>
      <c r="I49" s="39"/>
      <c r="P49" s="8"/>
      <c r="R49" s="10"/>
      <c r="S49" s="43"/>
      <c r="T49" s="43"/>
      <c r="U49" s="43"/>
      <c r="V49" s="70"/>
      <c r="W49" s="12"/>
    </row>
    <row r="50" spans="2:23" x14ac:dyDescent="0.2">
      <c r="B50" s="7"/>
      <c r="I50" s="39"/>
      <c r="P50" s="8"/>
      <c r="R50" s="3"/>
      <c r="S50" s="42" t="s">
        <v>31</v>
      </c>
      <c r="T50" s="42"/>
      <c r="U50" s="42"/>
      <c r="V50" s="69">
        <f>SUM(U37:U40)</f>
        <v>24428.657999999999</v>
      </c>
      <c r="W50" s="6"/>
    </row>
    <row r="51" spans="2:23" x14ac:dyDescent="0.2">
      <c r="B51" s="7"/>
      <c r="I51" s="39"/>
      <c r="P51" s="8"/>
      <c r="R51" s="10"/>
      <c r="S51" s="43"/>
      <c r="T51" s="43"/>
      <c r="U51" s="43"/>
      <c r="V51" s="70"/>
      <c r="W51" s="12"/>
    </row>
    <row r="52" spans="2:23" ht="10.5" customHeight="1" x14ac:dyDescent="0.2">
      <c r="B52" s="7"/>
      <c r="I52" s="39"/>
      <c r="P52" s="8"/>
      <c r="S52" s="35"/>
      <c r="T52" s="35"/>
      <c r="U52" s="35"/>
      <c r="V52" s="71"/>
    </row>
    <row r="53" spans="2:23" x14ac:dyDescent="0.2">
      <c r="B53" s="7"/>
      <c r="P53" s="8"/>
      <c r="R53" s="3"/>
      <c r="S53" s="47" t="s">
        <v>32</v>
      </c>
      <c r="T53" s="47"/>
      <c r="U53" s="47"/>
      <c r="V53" s="72">
        <f>V48+V50</f>
        <v>187286.378</v>
      </c>
      <c r="W53" s="6"/>
    </row>
    <row r="54" spans="2:23" x14ac:dyDescent="0.2">
      <c r="B54" s="7"/>
      <c r="P54" s="8"/>
      <c r="R54" s="7"/>
      <c r="S54" s="48"/>
      <c r="T54" s="48"/>
      <c r="U54" s="48"/>
      <c r="V54" s="73"/>
      <c r="W54" s="8"/>
    </row>
    <row r="55" spans="2:23" x14ac:dyDescent="0.2">
      <c r="B55" s="7"/>
      <c r="P55" s="8"/>
      <c r="R55" s="7"/>
      <c r="S55" s="48"/>
      <c r="T55" s="48"/>
      <c r="U55" s="48"/>
      <c r="V55" s="73"/>
      <c r="W55" s="8"/>
    </row>
    <row r="56" spans="2:23" ht="18.600000000000001" customHeight="1" x14ac:dyDescent="0.2">
      <c r="B56" s="10"/>
      <c r="C56" s="11"/>
      <c r="D56" s="11"/>
      <c r="E56" s="11"/>
      <c r="F56" s="11"/>
      <c r="G56" s="11"/>
      <c r="H56" s="11"/>
      <c r="I56" s="11"/>
      <c r="J56" s="11"/>
      <c r="K56" s="11"/>
      <c r="L56" s="17"/>
      <c r="M56" s="17"/>
      <c r="N56" s="11"/>
      <c r="O56" s="11"/>
      <c r="P56" s="12"/>
      <c r="R56" s="10"/>
      <c r="S56" s="49"/>
      <c r="T56" s="49"/>
      <c r="U56" s="49"/>
      <c r="V56" s="74"/>
      <c r="W56" s="12"/>
    </row>
    <row r="57" spans="2:23" ht="18.600000000000001" customHeight="1" x14ac:dyDescent="0.2">
      <c r="S57" s="37"/>
      <c r="T57" s="37"/>
      <c r="U57" s="37"/>
      <c r="V57" s="38"/>
    </row>
  </sheetData>
  <mergeCells count="14">
    <mergeCell ref="S48:U49"/>
    <mergeCell ref="V48:V49"/>
    <mergeCell ref="S50:U51"/>
    <mergeCell ref="V50:V51"/>
    <mergeCell ref="S53:U56"/>
    <mergeCell ref="V53:V56"/>
    <mergeCell ref="G33:I33"/>
    <mergeCell ref="G34:I34"/>
    <mergeCell ref="S44:U45"/>
    <mergeCell ref="V44:V45"/>
    <mergeCell ref="N46:P46"/>
    <mergeCell ref="S46:U47"/>
    <mergeCell ref="V46:V47"/>
    <mergeCell ref="N47:P47"/>
  </mergeCells>
  <pageMargins left="0.25" right="0.25" top="0.75" bottom="0.75" header="0.3" footer="0.3"/>
  <pageSetup paperSize="9" scale="6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a2fcafd-6036-4568-a1cf-a5f623621ae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C9EF0E77E8A544A0788625C4F2E572" ma:contentTypeVersion="15" ma:contentTypeDescription="Create a new document." ma:contentTypeScope="" ma:versionID="72296c6c3b905f54e0ec2805a19a24e0">
  <xsd:schema xmlns:xsd="http://www.w3.org/2001/XMLSchema" xmlns:xs="http://www.w3.org/2001/XMLSchema" xmlns:p="http://schemas.microsoft.com/office/2006/metadata/properties" xmlns:ns3="0a2fcafd-6036-4568-a1cf-a5f623621ae9" xmlns:ns4="e4267c8c-930e-455a-b026-08ccb976640f" targetNamespace="http://schemas.microsoft.com/office/2006/metadata/properties" ma:root="true" ma:fieldsID="e845b28c8b684a0c0106fb50af6522f4" ns3:_="" ns4:_="">
    <xsd:import namespace="0a2fcafd-6036-4568-a1cf-a5f623621ae9"/>
    <xsd:import namespace="e4267c8c-930e-455a-b026-08ccb976640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2fcafd-6036-4568-a1cf-a5f623621a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67c8c-930e-455a-b026-08ccb976640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5656B2-E962-4FFD-A402-2788AB318DB9}">
  <ds:schemaRefs>
    <ds:schemaRef ds:uri="http://purl.org/dc/terms/"/>
    <ds:schemaRef ds:uri="e4267c8c-930e-455a-b026-08ccb976640f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0a2fcafd-6036-4568-a1cf-a5f623621ae9"/>
  </ds:schemaRefs>
</ds:datastoreItem>
</file>

<file path=customXml/itemProps2.xml><?xml version="1.0" encoding="utf-8"?>
<ds:datastoreItem xmlns:ds="http://schemas.openxmlformats.org/officeDocument/2006/customXml" ds:itemID="{6E199061-D7D9-414A-AED4-11B67B76E4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2fcafd-6036-4568-a1cf-a5f623621ae9"/>
    <ds:schemaRef ds:uri="e4267c8c-930e-455a-b026-08ccb97664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57F5CC-F09F-4CBF-BCED-D444C829A7A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GENEWAY PO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Ashley Kotze</dc:creator>
  <cp:keywords/>
  <dc:description/>
  <cp:lastModifiedBy>Bianca Sansom</cp:lastModifiedBy>
  <cp:revision/>
  <cp:lastPrinted>2025-11-02T16:36:40Z</cp:lastPrinted>
  <dcterms:created xsi:type="dcterms:W3CDTF">2023-12-06T13:58:45Z</dcterms:created>
  <dcterms:modified xsi:type="dcterms:W3CDTF">2025-11-06T09:41:35Z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0x010100DBC9EF0E77E8A544A0788625C4F2E572</vt:lpwstr>
  </property>
</Properties>
</file>
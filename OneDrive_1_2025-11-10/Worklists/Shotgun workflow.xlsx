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tbprojectenterprises-my.sharepoint.com/personal/bianca_life360omics_com/Documents/LIMS/Worklists/"/>
    </mc:Choice>
  </mc:AlternateContent>
  <xr:revisionPtr revIDLastSave="0" documentId="8_{52505D2D-2C1A-4306-8699-C43CC7252665}" xr6:coauthVersionLast="47" xr6:coauthVersionMax="47" xr10:uidLastSave="{00000000-0000-0000-0000-000000000000}"/>
  <bookViews>
    <workbookView xWindow="28680" yWindow="-120" windowWidth="29040" windowHeight="15720" xr2:uid="{4EFCF4BD-B47F-4508-8857-D7057A542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J35" i="1" s="1"/>
  <c r="D35" i="1"/>
  <c r="D34" i="1"/>
  <c r="D33" i="1"/>
  <c r="D32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</calcChain>
</file>

<file path=xl/sharedStrings.xml><?xml version="1.0" encoding="utf-8"?>
<sst xmlns="http://schemas.openxmlformats.org/spreadsheetml/2006/main" count="99" uniqueCount="53">
  <si>
    <t>Sequence start Date:</t>
  </si>
  <si>
    <t>Sequence end Date:</t>
  </si>
  <si>
    <t>Well</t>
  </si>
  <si>
    <t>Num</t>
  </si>
  <si>
    <t>Sample ID</t>
  </si>
  <si>
    <t>Barcode ID</t>
  </si>
  <si>
    <t>Sample Type</t>
  </si>
  <si>
    <t>Test Requested</t>
  </si>
  <si>
    <t>Qubit [ng/uL]</t>
  </si>
  <si>
    <t>Normalizing Diluent</t>
  </si>
  <si>
    <t>Normalizing (DNA)</t>
  </si>
  <si>
    <t>Comments</t>
  </si>
  <si>
    <t>Pass / Fail</t>
  </si>
  <si>
    <t>Gig data</t>
  </si>
  <si>
    <t>A01</t>
  </si>
  <si>
    <t>Stool</t>
  </si>
  <si>
    <t>Gut Microbiome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</si>
  <si>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</si>
  <si>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</si>
  <si>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</si>
  <si>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</si>
  <si>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</si>
  <si>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</si>
  <si>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</si>
  <si>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</si>
  <si>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</si>
  <si>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</si>
  <si>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</si>
  <si>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</si>
  <si>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</si>
  <si>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</si>
  <si>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</si>
  <si>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</si>
  <si>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</si>
  <si>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</si>
  <si>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</si>
  <si>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</si>
  <si>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</si>
  <si>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</si>
  <si>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</si>
  <si>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End-prep Master Mix</t>
  </si>
  <si>
    <t>n</t>
  </si>
  <si>
    <t>FFPE Buffer</t>
  </si>
  <si>
    <t xml:space="preserve">QC1 (ng/ul): </t>
  </si>
  <si>
    <t>Ultra II Buffer</t>
  </si>
  <si>
    <t>QC2 (ng/ul):</t>
  </si>
  <si>
    <t>Ultra II Enzyme</t>
  </si>
  <si>
    <t>Pooled Lib</t>
  </si>
  <si>
    <t>Elution Buffer</t>
  </si>
  <si>
    <t>FFPE Mix</t>
  </si>
  <si>
    <t>Final Library Volume</t>
  </si>
  <si>
    <t>Alliquot 8 ul Normalized DNA with 3 dH2O</t>
  </si>
  <si>
    <t>Created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</si>
</sst>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3" borderId="0" xfId="0" applyFont="1" applyFill="1" applyAlignment="1">
      <alignment horizontal="center" vertical="center" wrapText="1"/>
    </xf>
    <xf numFmtId="14" fontId="0" fillId="3" borderId="3" xfId="0" applyNumberFormat="1" applyFill="1" applyBorder="1" applyAlignment="1">
      <alignment horizontal="center"/>
    </xf>
    <xf numFmtId="0" fontId="3" fillId="3" borderId="0" xfId="0" applyFont="1" applyFill="1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14" fontId="3" fillId="3" borderId="0" xfId="0" applyNumberFormat="1" applyFont="1" applyFill="1" applyAlignment="1">
      <alignment vertical="center"/>
    </xf>
    <xf numFmtId="0" fontId="0" fillId="3" borderId="3" xfId="0" applyFill="1" applyBorder="1" applyAlignment="1">
      <alignment horizontal="center"/>
    </xf>
  </cellXfs>
  <cellStyles count="2">
    <cellStyle name="Normal" xfId="0" builtinId="0"/>
    <cellStyle name="Normal 2" xfId="1" xr:uid="{825B1F17-97BF-47B6-80E2-8F7CF21A4B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2BEB-51A1-45DE-84B1-959B5BF66693}">
  <dimension ref="A1:L37"/>
  <sheetViews>
    <sheetView tabSelected="1" workbookViewId="0">
      <selection activeCell="H13" sqref="H13"/>
    </sheetView>
  </sheetViews>
  <sheetFormatPr defaultRowHeight="12.75" customHeight="1" x14ac:dyDescent="0.3"/>
  <cols>
    <col min="1" max="1" width="5.33203125" bestFit="1" customWidth="1"/>
    <col min="2" max="2" width="5.44140625" style="1" bestFit="1" customWidth="1"/>
    <col min="3" max="3" width="16.109375" customWidth="1"/>
    <col min="4" max="4" width="10.109375" bestFit="1" customWidth="1"/>
    <col min="5" max="5" width="7.6640625" bestFit="1" customWidth="1"/>
    <col min="6" max="6" width="19.6640625" customWidth="1"/>
    <col min="8" max="8" width="19.88671875" customWidth="1"/>
    <col min="9" max="9" width="13.88671875" customWidth="1"/>
    <col min="10" max="10" width="19.5546875" customWidth="1"/>
    <col min="11" max="11" width="10.33203125" bestFit="1" customWidth="1"/>
    <col min="12" max="12" width="8.6640625" bestFit="1" customWidth="1"/>
  </cols>
  <sheetData>
    <row r="1" spans="1:12" ht="14.4" x14ac:dyDescent="0.3"/>
    <row r="2" spans="1:12" ht="16.2" customHeight="1" thickBot="1" x14ac:dyDescent="0.35">
      <c r="B2" s="14" t="s">
        <v>0</v>
      </c>
      <c r="C2" s="14"/>
      <c r="D2" s="15"/>
      <c r="F2" s="16" t="s">
        <v>52</v>
      </c>
      <c r="G2" s="17"/>
      <c r="H2" s="17"/>
      <c r="J2" s="18" t="s">
        <v>1</v>
      </c>
      <c r="K2" s="19"/>
    </row>
    <row r="3" spans="1:12" ht="15" thickBot="1" x14ac:dyDescent="0.35">
      <c r="C3" s="2"/>
      <c r="E3" s="3"/>
      <c r="F3" s="2"/>
      <c r="G3" s="3"/>
      <c r="J3" s="3"/>
    </row>
    <row r="4" spans="1:12" ht="31.8" thickBot="1" x14ac:dyDescent="0.35">
      <c r="A4" s="4" t="s">
        <v>2</v>
      </c>
      <c r="B4" s="5" t="s">
        <v>3</v>
      </c>
      <c r="C4" s="6" t="s">
        <v>4</v>
      </c>
      <c r="D4" s="4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7" t="s">
        <v>11</v>
      </c>
      <c r="K4" s="8" t="s">
        <v>12</v>
      </c>
      <c r="L4" s="8" t="s">
        <v>13</v>
      </c>
    </row>
    <row r="5" spans="1:12" ht="16.2" thickBot="1" x14ac:dyDescent="0.35">
      <c r="A5" s="9" t="s">
        <v>14</v>
      </c>
      <c r="B5" s="10">
        <v>1</v>
      </c>
      <c r="C5" s="10"/>
      <c r="D5" s="9"/>
      <c r="E5" s="10" t="s">
        <v>15</v>
      </c>
      <c r="F5" s="10" t="s">
        <v>16</v>
      </c>
      <c r="G5" s="11"/>
      <c r="H5" s="9" t="e">
        <f>ROUND(20-I5,0)</f>
        <v>#DIV/0!</v>
      </c>
      <c r="I5" s="9" t="e">
        <f>ROUND(1000/G5,0)</f>
        <v>#DIV/0!</v>
      </c>
      <c r="J5" s="10"/>
      <c r="K5" s="9"/>
      <c r="L5" s="9"/>
    </row>
    <row r="6" spans="1:12" ht="16.2" thickBot="1" x14ac:dyDescent="0.35">
      <c r="A6" s="9" t="s">
        <v>17</v>
      </c>
      <c r="B6" s="10">
        <v>2</v>
      </c>
      <c r="C6" s="10"/>
      <c r="D6" s="9"/>
      <c r="E6" s="10" t="s">
        <v>15</v>
      </c>
      <c r="F6" s="10" t="s">
        <v>16</v>
      </c>
      <c r="G6" s="11"/>
      <c r="H6" s="9" t="e">
        <f t="shared" ref="H6:H28" si="0">ROUND(20-I6,0)</f>
        <v>#DIV/0!</v>
      </c>
      <c r="I6" s="9" t="e">
        <f t="shared" ref="I6:I28" si="1">ROUND(1000/G6,0)</f>
        <v>#DIV/0!</v>
      </c>
      <c r="J6" s="10"/>
      <c r="K6" s="9"/>
      <c r="L6" s="9"/>
    </row>
    <row r="7" spans="1:12" ht="16.2" thickBot="1" x14ac:dyDescent="0.35">
      <c r="A7" s="9" t="s">
        <v>18</v>
      </c>
      <c r="B7" s="10">
        <v>3</v>
      </c>
      <c r="C7" s="10"/>
      <c r="D7" s="9"/>
      <c r="E7" s="10" t="s">
        <v>15</v>
      </c>
      <c r="F7" s="10" t="s">
        <v>16</v>
      </c>
      <c r="G7" s="11"/>
      <c r="H7" s="9" t="e">
        <f t="shared" si="0"/>
        <v>#DIV/0!</v>
      </c>
      <c r="I7" s="9" t="e">
        <f t="shared" si="1"/>
        <v>#DIV/0!</v>
      </c>
      <c r="J7" s="10"/>
      <c r="K7" s="9"/>
      <c r="L7" s="9"/>
    </row>
    <row r="8" spans="1:12" ht="16.2" thickBot="1" x14ac:dyDescent="0.35">
      <c r="A8" s="9" t="s">
        <v>19</v>
      </c>
      <c r="B8" s="10">
        <v>4</v>
      </c>
      <c r="C8" s="10"/>
      <c r="D8" s="9"/>
      <c r="E8" s="10" t="s">
        <v>15</v>
      </c>
      <c r="F8" s="10" t="s">
        <v>16</v>
      </c>
      <c r="G8" s="11"/>
      <c r="H8" s="9" t="e">
        <f t="shared" si="0"/>
        <v>#DIV/0!</v>
      </c>
      <c r="I8" s="9" t="e">
        <f t="shared" si="1"/>
        <v>#DIV/0!</v>
      </c>
      <c r="J8" s="10"/>
      <c r="K8" s="9"/>
      <c r="L8" s="9"/>
    </row>
    <row r="9" spans="1:12" ht="16.2" thickBot="1" x14ac:dyDescent="0.35">
      <c r="A9" s="9" t="s">
        <v>20</v>
      </c>
      <c r="B9" s="10">
        <v>5</v>
      </c>
      <c r="C9" s="10"/>
      <c r="D9" s="9"/>
      <c r="E9" s="10" t="s">
        <v>15</v>
      </c>
      <c r="F9" s="10" t="s">
        <v>16</v>
      </c>
      <c r="G9" s="11"/>
      <c r="H9" s="9" t="e">
        <f t="shared" si="0"/>
        <v>#DIV/0!</v>
      </c>
      <c r="I9" s="9" t="e">
        <f t="shared" si="1"/>
        <v>#DIV/0!</v>
      </c>
      <c r="J9" s="10"/>
      <c r="K9" s="9"/>
      <c r="L9" s="9"/>
    </row>
    <row r="10" spans="1:12" ht="16.2" thickBot="1" x14ac:dyDescent="0.35">
      <c r="A10" s="9" t="s">
        <v>21</v>
      </c>
      <c r="B10" s="10">
        <v>6</v>
      </c>
      <c r="C10" s="10"/>
      <c r="D10" s="9"/>
      <c r="E10" s="10" t="s">
        <v>15</v>
      </c>
      <c r="F10" s="10" t="s">
        <v>16</v>
      </c>
      <c r="G10" s="10"/>
      <c r="H10" s="9" t="e">
        <f t="shared" si="0"/>
        <v>#DIV/0!</v>
      </c>
      <c r="I10" s="9" t="e">
        <f t="shared" si="1"/>
        <v>#DIV/0!</v>
      </c>
      <c r="J10" s="10"/>
      <c r="K10" s="9"/>
      <c r="L10" s="9"/>
    </row>
    <row r="11" spans="1:12" ht="16.2" thickBot="1" x14ac:dyDescent="0.35">
      <c r="A11" s="9" t="s">
        <v>22</v>
      </c>
      <c r="B11" s="10">
        <v>7</v>
      </c>
      <c r="C11" s="10"/>
      <c r="D11" s="9"/>
      <c r="E11" s="10" t="s">
        <v>15</v>
      </c>
      <c r="F11" s="10" t="s">
        <v>16</v>
      </c>
      <c r="G11" s="10"/>
      <c r="H11" s="9" t="e">
        <f t="shared" si="0"/>
        <v>#DIV/0!</v>
      </c>
      <c r="I11" s="9" t="e">
        <f t="shared" si="1"/>
        <v>#DIV/0!</v>
      </c>
      <c r="J11" s="10"/>
      <c r="K11" s="9"/>
      <c r="L11" s="9"/>
    </row>
    <row r="12" spans="1:12" ht="16.2" thickBot="1" x14ac:dyDescent="0.35">
      <c r="A12" s="9" t="s">
        <v>23</v>
      </c>
      <c r="B12" s="10">
        <v>8</v>
      </c>
      <c r="C12" s="10"/>
      <c r="D12" s="9"/>
      <c r="E12" s="10" t="s">
        <v>15</v>
      </c>
      <c r="F12" s="10" t="s">
        <v>16</v>
      </c>
      <c r="G12" s="10"/>
      <c r="H12" s="9" t="e">
        <f t="shared" si="0"/>
        <v>#DIV/0!</v>
      </c>
      <c r="I12" s="9" t="e">
        <f t="shared" si="1"/>
        <v>#DIV/0!</v>
      </c>
      <c r="J12" s="10"/>
      <c r="K12" s="9"/>
      <c r="L12" s="9"/>
    </row>
    <row r="13" spans="1:12" ht="16.2" thickBot="1" x14ac:dyDescent="0.35">
      <c r="A13" s="9" t="s">
        <v>24</v>
      </c>
      <c r="B13" s="10">
        <v>9</v>
      </c>
      <c r="C13" s="10"/>
      <c r="D13" s="9"/>
      <c r="E13" s="10" t="s">
        <v>15</v>
      </c>
      <c r="F13" s="10" t="s">
        <v>16</v>
      </c>
      <c r="G13" s="10"/>
      <c r="H13" s="9" t="e">
        <f t="shared" si="0"/>
        <v>#DIV/0!</v>
      </c>
      <c r="I13" s="9" t="e">
        <f t="shared" si="1"/>
        <v>#DIV/0!</v>
      </c>
      <c r="J13" s="10"/>
      <c r="K13" s="9"/>
      <c r="L13" s="9"/>
    </row>
    <row r="14" spans="1:12" ht="16.2" thickBot="1" x14ac:dyDescent="0.35">
      <c r="A14" s="9" t="s">
        <v>25</v>
      </c>
      <c r="B14" s="10">
        <v>10</v>
      </c>
      <c r="C14" s="10"/>
      <c r="D14" s="9"/>
      <c r="E14" s="10" t="s">
        <v>15</v>
      </c>
      <c r="F14" s="10" t="s">
        <v>16</v>
      </c>
      <c r="G14" s="10"/>
      <c r="H14" s="9" t="e">
        <f t="shared" si="0"/>
        <v>#DIV/0!</v>
      </c>
      <c r="I14" s="9" t="e">
        <f t="shared" si="1"/>
        <v>#DIV/0!</v>
      </c>
      <c r="J14" s="10"/>
      <c r="K14" s="9"/>
      <c r="L14" s="9"/>
    </row>
    <row r="15" spans="1:12" ht="16.2" thickBot="1" x14ac:dyDescent="0.35">
      <c r="A15" s="9" t="s">
        <v>26</v>
      </c>
      <c r="B15" s="10">
        <v>11</v>
      </c>
      <c r="C15" s="10"/>
      <c r="D15" s="9"/>
      <c r="E15" s="10" t="s">
        <v>15</v>
      </c>
      <c r="F15" s="10" t="s">
        <v>16</v>
      </c>
      <c r="G15" s="10"/>
      <c r="H15" s="9" t="e">
        <f t="shared" si="0"/>
        <v>#DIV/0!</v>
      </c>
      <c r="I15" s="9" t="e">
        <f t="shared" si="1"/>
        <v>#DIV/0!</v>
      </c>
      <c r="J15" s="10"/>
      <c r="K15" s="9"/>
      <c r="L15" s="9"/>
    </row>
    <row r="16" spans="1:12" ht="16.2" thickBot="1" x14ac:dyDescent="0.35">
      <c r="A16" s="9" t="s">
        <v>27</v>
      </c>
      <c r="B16" s="10">
        <v>12</v>
      </c>
      <c r="C16" s="10"/>
      <c r="D16" s="9"/>
      <c r="E16" s="10" t="s">
        <v>15</v>
      </c>
      <c r="F16" s="10" t="s">
        <v>16</v>
      </c>
      <c r="G16" s="10"/>
      <c r="H16" s="9" t="e">
        <f t="shared" si="0"/>
        <v>#DIV/0!</v>
      </c>
      <c r="I16" s="9" t="e">
        <f t="shared" si="1"/>
        <v>#DIV/0!</v>
      </c>
      <c r="J16" s="10"/>
      <c r="K16" s="9"/>
      <c r="L16" s="9"/>
    </row>
    <row r="17" spans="1:12" ht="16.2" thickBot="1" x14ac:dyDescent="0.35">
      <c r="A17" s="9" t="s">
        <v>28</v>
      </c>
      <c r="B17" s="10">
        <v>13</v>
      </c>
      <c r="C17" s="10"/>
      <c r="D17" s="9"/>
      <c r="E17" s="10" t="s">
        <v>15</v>
      </c>
      <c r="F17" s="10" t="s">
        <v>16</v>
      </c>
      <c r="G17" s="10"/>
      <c r="H17" s="9" t="e">
        <f t="shared" si="0"/>
        <v>#DIV/0!</v>
      </c>
      <c r="I17" s="9" t="e">
        <f t="shared" si="1"/>
        <v>#DIV/0!</v>
      </c>
      <c r="J17" s="10"/>
      <c r="K17" s="9"/>
      <c r="L17" s="9"/>
    </row>
    <row r="18" spans="1:12" ht="16.2" thickBot="1" x14ac:dyDescent="0.35">
      <c r="A18" s="9" t="s">
        <v>29</v>
      </c>
      <c r="B18" s="10">
        <v>14</v>
      </c>
      <c r="C18" s="10"/>
      <c r="D18" s="9"/>
      <c r="E18" s="10" t="s">
        <v>15</v>
      </c>
      <c r="F18" s="10" t="s">
        <v>16</v>
      </c>
      <c r="G18" s="10"/>
      <c r="H18" s="9" t="e">
        <f t="shared" si="0"/>
        <v>#DIV/0!</v>
      </c>
      <c r="I18" s="9" t="e">
        <f t="shared" si="1"/>
        <v>#DIV/0!</v>
      </c>
      <c r="J18" s="10"/>
      <c r="K18" s="9"/>
      <c r="L18" s="9"/>
    </row>
    <row r="19" spans="1:12" ht="16.2" thickBot="1" x14ac:dyDescent="0.35">
      <c r="A19" s="9" t="s">
        <v>30</v>
      </c>
      <c r="B19" s="10">
        <v>15</v>
      </c>
      <c r="C19" s="10"/>
      <c r="D19" s="9"/>
      <c r="E19" s="10" t="s">
        <v>15</v>
      </c>
      <c r="F19" s="10" t="s">
        <v>16</v>
      </c>
      <c r="G19" s="10"/>
      <c r="H19" s="9" t="e">
        <f t="shared" si="0"/>
        <v>#DIV/0!</v>
      </c>
      <c r="I19" s="9" t="e">
        <f t="shared" si="1"/>
        <v>#DIV/0!</v>
      </c>
      <c r="J19" s="10"/>
      <c r="K19" s="9"/>
      <c r="L19" s="9"/>
    </row>
    <row r="20" spans="1:12" ht="16.2" thickBot="1" x14ac:dyDescent="0.35">
      <c r="A20" s="9" t="s">
        <v>31</v>
      </c>
      <c r="B20" s="10">
        <v>16</v>
      </c>
      <c r="C20" s="10"/>
      <c r="D20" s="9"/>
      <c r="E20" s="10" t="s">
        <v>15</v>
      </c>
      <c r="F20" s="10" t="s">
        <v>16</v>
      </c>
      <c r="G20" s="10"/>
      <c r="H20" s="9" t="e">
        <f t="shared" si="0"/>
        <v>#DIV/0!</v>
      </c>
      <c r="I20" s="9" t="e">
        <f t="shared" si="1"/>
        <v>#DIV/0!</v>
      </c>
      <c r="J20" s="10"/>
      <c r="K20" s="9"/>
      <c r="L20" s="9"/>
    </row>
    <row r="21" spans="1:12" ht="16.2" thickBot="1" x14ac:dyDescent="0.35">
      <c r="A21" s="9" t="s">
        <v>32</v>
      </c>
      <c r="B21" s="10">
        <v>17</v>
      </c>
      <c r="C21" s="10"/>
      <c r="D21" s="9"/>
      <c r="E21" s="10" t="s">
        <v>15</v>
      </c>
      <c r="F21" s="10" t="s">
        <v>16</v>
      </c>
      <c r="G21" s="10"/>
      <c r="H21" s="9" t="e">
        <f t="shared" si="0"/>
        <v>#DIV/0!</v>
      </c>
      <c r="I21" s="9" t="e">
        <f t="shared" si="1"/>
        <v>#DIV/0!</v>
      </c>
      <c r="J21" s="10"/>
      <c r="K21" s="9"/>
      <c r="L21" s="9"/>
    </row>
    <row r="22" spans="1:12" ht="16.2" thickBot="1" x14ac:dyDescent="0.35">
      <c r="A22" s="9" t="s">
        <v>33</v>
      </c>
      <c r="B22" s="10">
        <v>18</v>
      </c>
      <c r="C22" s="10"/>
      <c r="D22" s="9"/>
      <c r="E22" s="10" t="s">
        <v>15</v>
      </c>
      <c r="F22" s="10" t="s">
        <v>16</v>
      </c>
      <c r="G22" s="10"/>
      <c r="H22" s="9" t="e">
        <f t="shared" si="0"/>
        <v>#DIV/0!</v>
      </c>
      <c r="I22" s="9" t="e">
        <f t="shared" si="1"/>
        <v>#DIV/0!</v>
      </c>
      <c r="J22" s="10"/>
      <c r="K22" s="9"/>
      <c r="L22" s="9"/>
    </row>
    <row r="23" spans="1:12" ht="16.2" thickBot="1" x14ac:dyDescent="0.35">
      <c r="A23" s="9" t="s">
        <v>34</v>
      </c>
      <c r="B23" s="10">
        <v>19</v>
      </c>
      <c r="C23" s="10"/>
      <c r="D23" s="9"/>
      <c r="E23" s="10" t="s">
        <v>15</v>
      </c>
      <c r="F23" s="10" t="s">
        <v>16</v>
      </c>
      <c r="G23" s="10"/>
      <c r="H23" s="9" t="e">
        <f t="shared" si="0"/>
        <v>#DIV/0!</v>
      </c>
      <c r="I23" s="9" t="e">
        <f t="shared" si="1"/>
        <v>#DIV/0!</v>
      </c>
      <c r="J23" s="10"/>
      <c r="K23" s="9"/>
      <c r="L23" s="9"/>
    </row>
    <row r="24" spans="1:12" ht="16.2" thickBot="1" x14ac:dyDescent="0.35">
      <c r="A24" s="9" t="s">
        <v>35</v>
      </c>
      <c r="B24" s="10">
        <v>20</v>
      </c>
      <c r="C24" s="10"/>
      <c r="D24" s="9"/>
      <c r="E24" s="10" t="s">
        <v>15</v>
      </c>
      <c r="F24" s="10" t="s">
        <v>16</v>
      </c>
      <c r="G24" s="10"/>
      <c r="H24" s="9" t="e">
        <f t="shared" si="0"/>
        <v>#DIV/0!</v>
      </c>
      <c r="I24" s="9" t="e">
        <f t="shared" si="1"/>
        <v>#DIV/0!</v>
      </c>
      <c r="J24" s="10"/>
      <c r="K24" s="9"/>
      <c r="L24" s="9"/>
    </row>
    <row r="25" spans="1:12" ht="16.2" thickBot="1" x14ac:dyDescent="0.35">
      <c r="A25" s="9" t="s">
        <v>36</v>
      </c>
      <c r="B25" s="10">
        <v>21</v>
      </c>
      <c r="C25" s="10"/>
      <c r="D25" s="9"/>
      <c r="E25" s="10" t="s">
        <v>15</v>
      </c>
      <c r="F25" s="10" t="s">
        <v>16</v>
      </c>
      <c r="G25" s="10"/>
      <c r="H25" s="9" t="e">
        <f t="shared" si="0"/>
        <v>#DIV/0!</v>
      </c>
      <c r="I25" s="9" t="e">
        <f t="shared" si="1"/>
        <v>#DIV/0!</v>
      </c>
      <c r="J25" s="10"/>
      <c r="K25" s="9"/>
      <c r="L25" s="9"/>
    </row>
    <row r="26" spans="1:12" ht="16.2" thickBot="1" x14ac:dyDescent="0.35">
      <c r="A26" s="9" t="s">
        <v>37</v>
      </c>
      <c r="B26" s="10">
        <v>22</v>
      </c>
      <c r="C26" s="10"/>
      <c r="D26" s="9"/>
      <c r="E26" s="10" t="s">
        <v>15</v>
      </c>
      <c r="F26" s="10" t="s">
        <v>16</v>
      </c>
      <c r="G26" s="10"/>
      <c r="H26" s="9" t="e">
        <f t="shared" si="0"/>
        <v>#DIV/0!</v>
      </c>
      <c r="I26" s="9" t="e">
        <f t="shared" si="1"/>
        <v>#DIV/0!</v>
      </c>
      <c r="J26" s="10"/>
      <c r="K26" s="9"/>
      <c r="L26" s="9"/>
    </row>
    <row r="27" spans="1:12" ht="16.2" thickBot="1" x14ac:dyDescent="0.35">
      <c r="A27" s="9" t="s">
        <v>38</v>
      </c>
      <c r="B27" s="10">
        <v>23</v>
      </c>
      <c r="C27" s="10"/>
      <c r="D27" s="9"/>
      <c r="E27" s="10" t="s">
        <v>15</v>
      </c>
      <c r="F27" s="10" t="s">
        <v>16</v>
      </c>
      <c r="G27" s="10"/>
      <c r="H27" s="9" t="e">
        <f t="shared" si="0"/>
        <v>#DIV/0!</v>
      </c>
      <c r="I27" s="9" t="e">
        <f t="shared" si="1"/>
        <v>#DIV/0!</v>
      </c>
      <c r="J27" s="10"/>
      <c r="K27" s="9"/>
      <c r="L27" s="9"/>
    </row>
    <row r="28" spans="1:12" ht="16.2" thickBot="1" x14ac:dyDescent="0.35">
      <c r="A28" s="9" t="s">
        <v>39</v>
      </c>
      <c r="B28" s="10">
        <v>24</v>
      </c>
      <c r="C28" s="10"/>
      <c r="D28" s="9"/>
      <c r="E28" s="10" t="s">
        <v>15</v>
      </c>
      <c r="F28" s="10" t="s">
        <v>16</v>
      </c>
      <c r="G28" s="10"/>
      <c r="H28" s="9" t="e">
        <f t="shared" si="0"/>
        <v>#DIV/0!</v>
      </c>
      <c r="I28" s="9" t="e">
        <f t="shared" si="1"/>
        <v>#DIV/0!</v>
      </c>
      <c r="J28" s="10"/>
      <c r="K28" s="9"/>
      <c r="L28" s="9"/>
    </row>
    <row r="29" spans="1:12" ht="14.4" x14ac:dyDescent="0.3"/>
    <row r="30" spans="1:12" ht="15" thickBot="1" x14ac:dyDescent="0.35"/>
    <row r="31" spans="1:12" ht="31.8" thickBot="1" x14ac:dyDescent="0.35">
      <c r="C31" s="12" t="s">
        <v>40</v>
      </c>
      <c r="D31" s="9" t="s">
        <v>41</v>
      </c>
    </row>
    <row r="32" spans="1:12" ht="16.2" thickBot="1" x14ac:dyDescent="0.35">
      <c r="C32" s="12" t="s">
        <v>42</v>
      </c>
      <c r="D32" s="9" t="e">
        <f>ROUND(0.875*(D31+1),2)</f>
        <v>#VALUE!</v>
      </c>
      <c r="H32" s="12" t="s">
        <v>43</v>
      </c>
      <c r="I32" s="9"/>
    </row>
    <row r="33" spans="3:10" ht="16.2" thickBot="1" x14ac:dyDescent="0.35">
      <c r="C33" s="12" t="s">
        <v>44</v>
      </c>
      <c r="D33" s="9" t="e">
        <f>ROUND(0.875*(D31+1),2)</f>
        <v>#VALUE!</v>
      </c>
      <c r="H33" s="12" t="s">
        <v>45</v>
      </c>
      <c r="I33" s="9"/>
    </row>
    <row r="34" spans="3:10" ht="16.2" thickBot="1" x14ac:dyDescent="0.35">
      <c r="C34" s="12" t="s">
        <v>46</v>
      </c>
      <c r="D34" s="9" t="e">
        <f>0.75*(D31+1)</f>
        <v>#VALUE!</v>
      </c>
      <c r="I34" t="s">
        <v>47</v>
      </c>
      <c r="J34" t="s">
        <v>48</v>
      </c>
    </row>
    <row r="35" spans="3:10" ht="16.2" thickBot="1" x14ac:dyDescent="0.35">
      <c r="C35" s="12" t="s">
        <v>49</v>
      </c>
      <c r="D35" s="9" t="e">
        <f>0.5*(D31+1)</f>
        <v>#VALUE!</v>
      </c>
      <c r="H35" t="s">
        <v>50</v>
      </c>
      <c r="I35" t="e">
        <f>ROUND(154/I33,1)</f>
        <v>#DIV/0!</v>
      </c>
      <c r="J35" t="e">
        <f>32-I35</f>
        <v>#DIV/0!</v>
      </c>
    </row>
    <row r="36" spans="3:10" ht="14.4" x14ac:dyDescent="0.3"/>
    <row r="37" spans="3:10" ht="14.4" x14ac:dyDescent="0.3">
      <c r="C37" s="13" t="s">
        <v>51</v>
      </c>
      <c r="D37" s="13"/>
      <c r="E37" s="13"/>
      <c r="F37" s="13"/>
    </row>
  </sheetData>
  <mergeCells count="3">
    <mergeCell ref="C37:F37"/>
    <mergeCell ref="B2:C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Sansom</dc:creator>
  <cp:lastModifiedBy>Bianca Sansom</cp:lastModifiedBy>
  <dcterms:created xsi:type="dcterms:W3CDTF">2025-11-07T12:48:19Z</dcterms:created>
  <dcterms:modified xsi:type="dcterms:W3CDTF">2025-11-07T12:56:02Z</dcterms:modified>
</cp:coreProperties>
</file>